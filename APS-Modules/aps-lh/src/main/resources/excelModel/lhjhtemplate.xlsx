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885B73C6-9DC7-4BB1-AF7C-B0F2670D7630}" xr6:coauthVersionLast="47" xr6:coauthVersionMax="47" xr10:uidLastSave="{00000000-0000-0000-0000-000000000000}"/>
  <bookViews>
    <workbookView xWindow="-28920" yWindow="15" windowWidth="29040" windowHeight="15720" tabRatio="844" activeTab="1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硫化换模计划!$A$3:$P$3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34" l="1"/>
  <c r="C10" i="34"/>
  <c r="B10" i="34"/>
  <c r="E10" i="34" s="1"/>
  <c r="E9" i="34"/>
  <c r="D9" i="34"/>
  <c r="C9" i="34"/>
  <c r="B9" i="34"/>
  <c r="BY5" i="35"/>
  <c r="BX5" i="35"/>
  <c r="BW5" i="35"/>
  <c r="G5" i="35"/>
  <c r="BY2" i="35"/>
  <c r="BW2" i="35"/>
  <c r="BP2" i="35"/>
  <c r="BH2" i="35"/>
  <c r="AZ2" i="35"/>
  <c r="AR2" i="35"/>
  <c r="AJ2" i="35"/>
  <c r="AB2" i="35"/>
  <c r="T2" i="35"/>
  <c r="L2" i="35"/>
</calcChain>
</file>

<file path=xl/sharedStrings.xml><?xml version="1.0" encoding="utf-8"?>
<sst xmlns="http://schemas.openxmlformats.org/spreadsheetml/2006/main" count="269" uniqueCount="201">
  <si>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</si>
  <si>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</si>
  <si>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</si>
  <si>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</si>
  <si>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</si>
  <si>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</si>
  <si>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</si>
  <si>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</si>
  <si>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</si>
  <si>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</si>
  <si>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</si>
  <si>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</si>
  <si>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</si>
  <si>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05/15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</si>
  <si>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05/15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</si>
  <si>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05/16</t>
    </r>
  </si>
  <si>
    <t>早班 Ca sáng 05/16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</si>
  <si>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05/16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</si>
  <si>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05/17</t>
    </r>
  </si>
  <si>
    <t>早班 Ca sáng 05/17</t>
  </si>
  <si>
    <t>中班 Ca chiều 05/16</t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</si>
  <si>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</si>
  <si>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</si>
  <si>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</si>
  <si>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</si>
  <si>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</si>
  <si>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</si>
  <si>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</si>
  <si>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</si>
  <si>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</si>
  <si>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</si>
  <si>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</si>
  <si>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</si>
  <si>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</si>
  <si>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</si>
  <si>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</si>
  <si>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</si>
  <si>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</si>
  <si>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</si>
  <si>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</si>
  <si>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</si>
  <si>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</si>
  <si>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</si>
  <si>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</si>
  <si>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
</t>
  </si>
  <si>
    <t>计划
Kế hoạch</t>
  </si>
  <si>
    <t>Tổng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</si>
  <si>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</si>
  <si>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</si>
  <si>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</si>
  <si>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</si>
  <si>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</si>
  <si>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</si>
  <si>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</si>
  <si>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{.mainMaterialCode}</t>
  </si>
  <si>
    <t>{.mainMaterialDesc}</t>
  </si>
  <si>
    <t>{.structureName}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</si>
  <si>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</si>
  <si>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</si>
  <si>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</si>
  <si>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</si>
  <si>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</si>
  <si>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</si>
  <si>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</si>
  <si>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</si>
  <si>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</si>
  <si>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</si>
  <si>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</si>
  <si>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</si>
  <si>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</si>
  <si>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</si>
  <si>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</si>
  <si>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</si>
  <si>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</si>
  <si>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</si>
  <si>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</si>
  <si>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</si>
  <si>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</si>
  <si>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</si>
  <si>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</si>
  <si>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</si>
  <si>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</si>
  <si>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</si>
  <si>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</si>
  <si>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</si>
  <si>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</si>
  <si>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</si>
  <si>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</si>
  <si>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</si>
  <si>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</si>
  <si>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</si>
  <si>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</si>
  <si>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</si>
  <si>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</si>
  <si>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</si>
  <si>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</si>
  <si>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</si>
  <si>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</si>
  <si>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</si>
  <si>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</si>
  <si>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</si>
  <si>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</si>
  <si>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</si>
  <si>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</si>
  <si>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</si>
  <si>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</si>
  <si>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</si>
  <si>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</si>
  <si>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</si>
  <si>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</si>
  <si>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</si>
  <si>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</si>
  <si>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</si>
  <si>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</si>
  <si>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</si>
  <si>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</si>
  <si>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</si>
  <si>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</si>
  <si>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</si>
  <si>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</si>
  <si>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</si>
  <si>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</si>
  <si>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</si>
  <si>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</si>
  <si>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</si>
  <si>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</si>
  <si>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</si>
  <si>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</si>
  <si>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</si>
  <si>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</si>
  <si>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</si>
  <si>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</si>
  <si>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</si>
  <si>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</si>
  <si>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</si>
  <si>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</si>
  <si>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</si>
  <si>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</si>
  <si>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</si>
  <si>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</si>
  <si>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</si>
  <si>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</si>
  <si>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{.seq}</t>
  </si>
  <si>
    <t>{.planDate}</t>
  </si>
  <si>
    <t>{.classIndex}</t>
  </si>
  <si>
    <t>{.leftRightMould}</t>
  </si>
  <si>
    <t>{.beforeMaterialCode}</t>
  </si>
  <si>
    <t>{.afterMaterialCode}</t>
  </si>
  <si>
    <t>{.afterMaterialDesc}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</si>
  <si>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</si>
  <si>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</si>
  <si>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</si>
  <si>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</si>
  <si>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</si>
  <si>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</si>
  <si>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</si>
  <si>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</si>
  <si>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family val="3"/>
        <charset val="134"/>
      </rPr>
      <t>中班 Ca tr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</si>
  <si>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</si>
  <si>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</si>
  <si>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</si>
  <si>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</si>
  <si>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</si>
  <si>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</si>
  <si>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</si>
  <si>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family val="3"/>
        <charset val="134"/>
      </rPr>
      <t>量试 Thử nghiệm 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</si>
  <si>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</si>
  <si>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</si>
  <si>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</si>
  <si>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</si>
  <si>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</si>
  <si>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</si>
  <si>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family val="3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family val="3"/>
        <charset val="134"/>
      </rPr>
      <t>u hóa</t>
    </r>
  </si>
  <si>
    <r>
      <rPr>
        <sz val="9"/>
        <color theme="1"/>
        <rFont val="等线"/>
        <family val="3"/>
        <charset val="134"/>
      </rPr>
      <t>硫化开动
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 máy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</si>
  <si>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</si>
  <si>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</si>
  <si>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</si>
  <si>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</si>
  <si>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</si>
  <si>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</si>
  <si>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</si>
  <si>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</si>
  <si>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</si>
  <si>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</si>
  <si>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{.endType}</t>
    <phoneticPr fontId="24" type="noConversion"/>
  </si>
  <si>
    <t>{.afterMaterialType}</t>
    <phoneticPr fontId="24" type="noConversion"/>
  </si>
  <si>
    <t>{.beforeMaterialDesc}</t>
  </si>
  <si>
    <r>
      <t>Mã s</t>
    </r>
    <r>
      <rPr>
        <sz val="9"/>
        <color theme="0"/>
        <rFont val="Calibri"/>
        <family val="3"/>
        <charset val="163"/>
      </rPr>
      <t>ố</t>
    </r>
    <r>
      <rPr>
        <sz val="9"/>
        <color theme="0"/>
        <rFont val="等线"/>
        <family val="3"/>
        <charset val="134"/>
      </rPr>
      <t xml:space="preserve"> khuôn （MSK）</t>
    </r>
    <phoneticPr fontId="24" type="noConversion"/>
  </si>
  <si>
    <r>
      <t>Ch</t>
    </r>
    <r>
      <rPr>
        <sz val="9"/>
        <color theme="0"/>
        <rFont val="Calibri"/>
        <family val="3"/>
        <charset val="163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3"/>
        <charset val="163"/>
      </rPr>
      <t>ắ</t>
    </r>
    <r>
      <rPr>
        <sz val="9"/>
        <color theme="0"/>
        <rFont val="等线"/>
        <family val="3"/>
        <charset val="134"/>
      </rPr>
      <t>c</t>
    </r>
    <phoneticPr fontId="24" type="noConversion"/>
  </si>
  <si>
    <r>
      <t>V</t>
    </r>
    <r>
      <rPr>
        <sz val="9"/>
        <color theme="0"/>
        <rFont val="Calibri"/>
        <family val="3"/>
        <charset val="163"/>
      </rPr>
      <t>ệ</t>
    </r>
    <r>
      <rPr>
        <sz val="9"/>
        <color theme="0"/>
        <rFont val="等线"/>
        <family val="3"/>
        <charset val="134"/>
      </rPr>
      <t xml:space="preserve"> sinh cát （VSC）</t>
    </r>
    <phoneticPr fontId="24" type="noConversion"/>
  </si>
  <si>
    <r>
      <t>V</t>
    </r>
    <r>
      <rPr>
        <sz val="9"/>
        <color theme="0"/>
        <rFont val="Calibri"/>
        <family val="3"/>
        <charset val="163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3"/>
        <charset val="238"/>
      </rPr>
      <t>đ</t>
    </r>
    <r>
      <rPr>
        <sz val="9"/>
        <color theme="0"/>
        <rFont val="等线"/>
        <family val="3"/>
        <charset val="134"/>
      </rPr>
      <t xml:space="preserve">á </t>
    </r>
    <phoneticPr fontId="24" type="noConversion"/>
  </si>
  <si>
    <r>
      <t>Xu</t>
    </r>
    <r>
      <rPr>
        <sz val="9"/>
        <color theme="0"/>
        <rFont val="Calibri"/>
        <family val="3"/>
        <charset val="163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3"/>
        <charset val="163"/>
      </rPr>
      <t>ờ</t>
    </r>
    <r>
      <rPr>
        <sz val="9"/>
        <color theme="0"/>
        <rFont val="等线"/>
        <family val="3"/>
        <charset val="134"/>
      </rPr>
      <t>i gian</t>
    </r>
    <phoneticPr fontId="24" type="noConversion"/>
  </si>
  <si>
    <r>
      <t>Lo</t>
    </r>
    <r>
      <rPr>
        <sz val="9"/>
        <color theme="0"/>
        <rFont val="Calibri"/>
        <family val="3"/>
        <charset val="163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3"/>
        <charset val="238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3"/>
        <charset val="163"/>
      </rPr>
      <t>ứ</t>
    </r>
    <r>
      <rPr>
        <sz val="9"/>
        <color theme="0"/>
        <rFont val="等线"/>
        <family val="3"/>
        <charset val="134"/>
      </rPr>
      <t>c</t>
    </r>
    <phoneticPr fontId="24" type="noConversion"/>
  </si>
  <si>
    <t>Mô tả vật liệu (sau khi thay)</t>
  </si>
  <si>
    <t>Mã liệu kế hoạch  (sau khi thay)</t>
  </si>
  <si>
    <t>Mô tả vật liệu (trước khi thay)</t>
  </si>
  <si>
    <t>Mã liệu kế hoạch  đang lưu hóa (trước khi thay)</t>
  </si>
  <si>
    <t>Trái phải của khuôn</t>
  </si>
  <si>
    <t>按时间下机</t>
    <phoneticPr fontId="24" type="noConversion"/>
  </si>
  <si>
    <t>示方类型</t>
    <phoneticPr fontId="24" type="noConversion"/>
  </si>
  <si>
    <t>{title}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</si>
</sst>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29">
    <font>
      <sz val="12"/>
      <name val="宋体"/>
      <charset val="134"/>
    </font>
    <font>
      <sz val="9"/>
      <name val="等线"/>
      <family val="3"/>
      <charset val="134"/>
    </font>
    <font>
      <sz val="10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color indexed="8"/>
      <name val="等线"/>
      <family val="3"/>
      <charset val="134"/>
    </font>
    <font>
      <sz val="10"/>
      <color theme="1"/>
      <name val="等线"/>
      <family val="3"/>
      <charset val="134"/>
    </font>
    <font>
      <b/>
      <sz val="9"/>
      <name val="等线"/>
      <family val="3"/>
      <charset val="134"/>
    </font>
    <font>
      <sz val="9"/>
      <color theme="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b/>
      <sz val="9"/>
      <color theme="1"/>
      <name val="Cambria"/>
      <family val="1"/>
    </font>
    <font>
      <sz val="9"/>
      <color theme="1"/>
      <name val="宋体"/>
      <family val="3"/>
      <charset val="134"/>
    </font>
    <font>
      <sz val="9"/>
      <color rgb="FF000000"/>
      <name val="Times New Roman"/>
      <family val="1"/>
    </font>
    <font>
      <sz val="9"/>
      <color theme="0"/>
      <name val="Cambria"/>
      <family val="1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9"/>
      <color theme="0"/>
      <name val="Segoe UI"/>
      <family val="2"/>
    </font>
    <font>
      <sz val="9"/>
      <color theme="0"/>
      <name val="Calibri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color theme="0"/>
      <name val="Calibri"/>
      <family val="3"/>
      <charset val="163"/>
    </font>
    <font>
      <sz val="9"/>
      <color theme="0"/>
      <name val="Segoe UI"/>
      <family val="3"/>
      <charset val="238"/>
    </font>
    <font>
      <sz val="11"/>
      <name val="等线"/>
      <family val="3"/>
      <charset val="134"/>
    </font>
    <font>
      <sz val="10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13">
    <xf numFmtId="0" fontId="0" fillId="0" borderId="0"/>
    <xf numFmtId="176" fontId="23" fillId="0" borderId="0" applyFont="0" applyFill="0" applyBorder="0" applyAlignment="0" applyProtection="0"/>
    <xf numFmtId="0" fontId="11" fillId="0" borderId="0">
      <alignment vertical="center"/>
    </xf>
    <xf numFmtId="0" fontId="12" fillId="0" borderId="0"/>
    <xf numFmtId="177" fontId="10" fillId="0" borderId="0"/>
    <xf numFmtId="0" fontId="13" fillId="0" borderId="0"/>
    <xf numFmtId="0" fontId="10" fillId="0" borderId="0"/>
    <xf numFmtId="178" fontId="10" fillId="0" borderId="0"/>
    <xf numFmtId="9" fontId="10" fillId="0" borderId="0" applyFont="0" applyFill="0" applyBorder="0" applyAlignment="0" applyProtection="0">
      <alignment vertical="center"/>
    </xf>
    <xf numFmtId="0" fontId="23" fillId="0" borderId="0">
      <alignment vertical="center"/>
    </xf>
    <xf numFmtId="0" fontId="23" fillId="0" borderId="0"/>
    <xf numFmtId="176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left" vertical="center"/>
    </xf>
    <xf numFmtId="14" fontId="1" fillId="0" borderId="5" xfId="10" applyNumberFormat="1" applyFont="1" applyBorder="1" applyAlignment="1">
      <alignment horizontal="center" vertical="center" wrapText="1"/>
    </xf>
    <xf numFmtId="181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center" vertical="center" wrapText="1"/>
    </xf>
    <xf numFmtId="0" fontId="1" fillId="0" borderId="5" xfId="10" applyFont="1" applyBorder="1" applyAlignment="1">
      <alignment horizontal="center" vertical="center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0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1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180" fontId="1" fillId="0" borderId="0" xfId="10" applyNumberFormat="1" applyFont="1" applyAlignment="1">
      <alignment horizontal="center" vertical="top"/>
    </xf>
    <xf numFmtId="0" fontId="9" fillId="2" borderId="6" xfId="10" applyFont="1" applyFill="1" applyBorder="1" applyAlignment="1">
      <alignment horizontal="center" vertical="top" wrapText="1"/>
    </xf>
    <xf numFmtId="0" fontId="9" fillId="2" borderId="4" xfId="10" applyFont="1" applyFill="1" applyBorder="1" applyAlignment="1">
      <alignment horizontal="center" vertical="top" wrapText="1"/>
    </xf>
    <xf numFmtId="180" fontId="1" fillId="0" borderId="12" xfId="10" applyNumberFormat="1" applyFont="1" applyBorder="1" applyAlignment="1">
      <alignment horizontal="center" vertical="center"/>
    </xf>
    <xf numFmtId="180" fontId="1" fillId="0" borderId="13" xfId="10" applyNumberFormat="1" applyFont="1" applyBorder="1" applyAlignment="1">
      <alignment horizontal="center" vertical="center"/>
    </xf>
    <xf numFmtId="180" fontId="27" fillId="0" borderId="5" xfId="10" applyNumberFormat="1" applyFont="1" applyBorder="1" applyAlignment="1">
      <alignment vertical="center" wrapText="1"/>
    </xf>
    <xf numFmtId="180" fontId="28" fillId="0" borderId="5" xfId="10" applyNumberFormat="1" applyFont="1" applyBorder="1" applyAlignment="1">
      <alignment vertical="center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49" fontId="6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7D9737FD-07B7-459B-93C0-0A071F2BE1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5577" y="16896"/>
          <a:ext cx="1446971" cy="18676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5"/>
  <sheetViews>
    <sheetView workbookViewId="0">
      <pane xSplit="10" topLeftCell="K1" activePane="topRight" state="frozen"/>
      <selection pane="topRight" activeCell="J21" sqref="J21"/>
    </sheetView>
  </sheetViews>
  <sheetFormatPr defaultColWidth="8.69921875" defaultRowHeight="15.6"/>
  <cols>
    <col min="1" max="1" width="6.3984375" customWidth="1"/>
    <col min="2" max="2" width="9.59765625" customWidth="1"/>
    <col min="3" max="3" width="32.59765625" customWidth="1"/>
    <col min="4" max="4" width="9.59765625" customWidth="1"/>
    <col min="5" max="5" width="32.59765625" customWidth="1"/>
    <col min="6" max="6" width="17.09765625" customWidth="1"/>
    <col min="7" max="8" width="5.59765625" customWidth="1"/>
    <col min="9" max="9" width="6.09765625" customWidth="1"/>
    <col min="10" max="10" width="5.59765625" customWidth="1"/>
    <col min="11" max="11" width="3.09765625" customWidth="1"/>
    <col min="12" max="18" width="5.09765625" customWidth="1"/>
    <col min="19" max="19" width="3.09765625" customWidth="1"/>
    <col min="20" max="26" width="5.09765625" customWidth="1"/>
    <col min="27" max="27" width="3.09765625" customWidth="1"/>
    <col min="28" max="34" width="5.09765625" customWidth="1"/>
    <col min="35" max="35" width="3.09765625" customWidth="1"/>
    <col min="36" max="42" width="5.09765625" customWidth="1"/>
    <col min="43" max="43" width="3.09765625" customWidth="1"/>
    <col min="44" max="50" width="5.09765625" customWidth="1"/>
    <col min="51" max="51" width="3.09765625" customWidth="1"/>
    <col min="52" max="58" width="5.09765625" customWidth="1"/>
    <col min="59" max="59" width="3.09765625" customWidth="1"/>
    <col min="60" max="66" width="5.09765625" customWidth="1"/>
    <col min="67" max="67" width="3.09765625" customWidth="1"/>
    <col min="68" max="74" width="5.09765625" customWidth="1"/>
    <col min="75" max="77" width="5.59765625" customWidth="1"/>
    <col min="78" max="78" width="9.59765625" customWidth="1"/>
    <col min="79" max="79" width="7.59765625" customWidth="1"/>
    <col min="80" max="80" width="9.59765625" customWidth="1"/>
    <col min="81" max="81" width="25.69921875" customWidth="1"/>
  </cols>
  <sheetData>
    <row r="1" spans="1:81" ht="16.95" customHeight="1">
      <c r="A1" s="2"/>
      <c r="B1" s="16"/>
      <c r="C1" s="17" t="s">
        <v>0</v>
      </c>
      <c r="D1" s="18"/>
      <c r="E1" s="2"/>
      <c r="F1" s="2"/>
      <c r="G1" s="19" t="s">
        <v>1</v>
      </c>
      <c r="H1" s="2"/>
      <c r="I1" s="2"/>
      <c r="J1" s="2"/>
      <c r="K1" s="2"/>
      <c r="L1" s="20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0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0"/>
      <c r="CB1" s="20"/>
      <c r="CC1" s="2"/>
    </row>
    <row r="2" spans="1:81" ht="16.95" customHeight="1">
      <c r="A2" s="21"/>
      <c r="B2" s="21"/>
      <c r="C2" s="21"/>
      <c r="D2" s="21"/>
      <c r="E2" s="21"/>
      <c r="F2" s="21"/>
      <c r="G2" s="22"/>
      <c r="H2" s="23" t="s">
        <v>2</v>
      </c>
      <c r="I2" s="24"/>
      <c r="J2" s="24"/>
      <c r="K2" s="22"/>
      <c r="L2" s="22">
        <f>SUM(L5:L107934)</f>
        <v>0</v>
      </c>
      <c r="M2" s="22"/>
      <c r="N2" s="22"/>
      <c r="O2" s="21"/>
      <c r="P2" s="21"/>
      <c r="Q2" s="21"/>
      <c r="R2" s="21"/>
      <c r="S2" s="25"/>
      <c r="T2" s="21">
        <f>SUM(T5:T107934)</f>
        <v>0</v>
      </c>
      <c r="U2" s="21"/>
      <c r="V2" s="21"/>
      <c r="W2" s="21"/>
      <c r="X2" s="25"/>
      <c r="Y2" s="21"/>
      <c r="Z2" s="21"/>
      <c r="AA2" s="21"/>
      <c r="AB2" s="21" t="e">
        <f>SUM(BY5:BY107934)</f>
        <v>#VALUE!</v>
      </c>
      <c r="AC2" s="25"/>
      <c r="AD2" s="21"/>
      <c r="AE2" s="21"/>
      <c r="AF2" s="21"/>
      <c r="AG2" s="21"/>
      <c r="AH2" s="25"/>
      <c r="AI2" s="21"/>
      <c r="AJ2" s="21">
        <f>SUM(AJ5:AJ107934)</f>
        <v>0</v>
      </c>
      <c r="AK2" s="21"/>
      <c r="AL2" s="21"/>
      <c r="AM2" s="25"/>
      <c r="AN2" s="21"/>
      <c r="AO2" s="21"/>
      <c r="AP2" s="21"/>
      <c r="AQ2" s="21"/>
      <c r="AR2" s="25">
        <f>SUM(AR5:AR107934)</f>
        <v>0</v>
      </c>
      <c r="AS2" s="21"/>
      <c r="AT2" s="21"/>
      <c r="AU2" s="21"/>
      <c r="AV2" s="21"/>
      <c r="AW2" s="25"/>
      <c r="AX2" s="21"/>
      <c r="AY2" s="21"/>
      <c r="AZ2" s="21">
        <f>SUM(AZ5:AZ107934)</f>
        <v>0</v>
      </c>
      <c r="BA2" s="21"/>
      <c r="BB2" s="25"/>
      <c r="BC2" s="22"/>
      <c r="BD2" s="22"/>
      <c r="BE2" s="22"/>
      <c r="BF2" s="24"/>
      <c r="BG2" s="26"/>
      <c r="BH2" s="21">
        <f>SUM(BH5:BH107934)</f>
        <v>0</v>
      </c>
      <c r="BI2" s="24"/>
      <c r="BJ2" s="24"/>
      <c r="BK2" s="24"/>
      <c r="BL2" s="24"/>
      <c r="BM2" s="24"/>
      <c r="BN2" s="24"/>
      <c r="BO2" s="24"/>
      <c r="BP2" s="21">
        <f>SUM(BP5:BP107934)</f>
        <v>0</v>
      </c>
      <c r="BQ2" s="24"/>
      <c r="BR2" s="24"/>
      <c r="BS2" s="24"/>
      <c r="BT2" s="24"/>
      <c r="BU2" s="24"/>
      <c r="BV2" s="24"/>
      <c r="BW2" s="21">
        <f>AZ2+BH2+BP2</f>
        <v>0</v>
      </c>
      <c r="BX2" s="24"/>
      <c r="BY2" s="21" t="e">
        <f>L2+T2+AB2+AJ2+AR2+AZ2+BH2+BP2</f>
        <v>#VALUE!</v>
      </c>
      <c r="BZ2" s="27"/>
      <c r="CA2" s="24"/>
      <c r="CB2" s="24"/>
      <c r="CC2" s="24"/>
    </row>
    <row r="3" spans="1:81" ht="34.200000000000003">
      <c r="A3" s="28" t="s">
        <v>3</v>
      </c>
      <c r="B3" s="28" t="s">
        <v>4</v>
      </c>
      <c r="C3" s="28" t="s">
        <v>5</v>
      </c>
      <c r="D3" s="28" t="s">
        <v>6</v>
      </c>
      <c r="E3" s="28" t="s">
        <v>7</v>
      </c>
      <c r="F3" s="28" t="s">
        <v>8</v>
      </c>
      <c r="G3" s="28" t="s">
        <v>9</v>
      </c>
      <c r="H3" s="28" t="s">
        <v>10</v>
      </c>
      <c r="I3" s="28" t="s">
        <v>11</v>
      </c>
      <c r="J3" s="28" t="s">
        <v>12</v>
      </c>
      <c r="K3" s="50" t="s">
        <v>13</v>
      </c>
      <c r="L3" s="51"/>
      <c r="M3" s="51"/>
      <c r="N3" s="51"/>
      <c r="O3" s="51"/>
      <c r="P3" s="51"/>
      <c r="Q3" s="51"/>
      <c r="R3" s="51"/>
      <c r="S3" s="50" t="s">
        <v>14</v>
      </c>
      <c r="T3" s="51"/>
      <c r="U3" s="51"/>
      <c r="V3" s="51"/>
      <c r="W3" s="51"/>
      <c r="X3" s="51"/>
      <c r="Y3" s="51"/>
      <c r="Z3" s="51"/>
      <c r="AA3" s="52" t="s">
        <v>15</v>
      </c>
      <c r="AB3" s="52"/>
      <c r="AC3" s="52"/>
      <c r="AD3" s="52"/>
      <c r="AE3" s="52"/>
      <c r="AF3" s="52"/>
      <c r="AG3" s="52"/>
      <c r="AH3" s="52"/>
      <c r="AI3" s="52" t="s">
        <v>16</v>
      </c>
      <c r="AJ3" s="52"/>
      <c r="AK3" s="52"/>
      <c r="AL3" s="52"/>
      <c r="AM3" s="52"/>
      <c r="AN3" s="52"/>
      <c r="AO3" s="52"/>
      <c r="AP3" s="52"/>
      <c r="AQ3" s="52" t="s">
        <v>17</v>
      </c>
      <c r="AR3" s="52"/>
      <c r="AS3" s="52"/>
      <c r="AT3" s="52"/>
      <c r="AU3" s="52"/>
      <c r="AV3" s="52"/>
      <c r="AW3" s="52"/>
      <c r="AX3" s="52"/>
      <c r="AY3" s="47" t="s">
        <v>18</v>
      </c>
      <c r="AZ3" s="47"/>
      <c r="BA3" s="47"/>
      <c r="BB3" s="47"/>
      <c r="BC3" s="47"/>
      <c r="BD3" s="47"/>
      <c r="BE3" s="47"/>
      <c r="BF3" s="47"/>
      <c r="BG3" s="47" t="s">
        <v>19</v>
      </c>
      <c r="BH3" s="47"/>
      <c r="BI3" s="47"/>
      <c r="BJ3" s="47"/>
      <c r="BK3" s="47"/>
      <c r="BL3" s="47"/>
      <c r="BM3" s="47"/>
      <c r="BN3" s="47"/>
      <c r="BO3" s="47" t="s">
        <v>20</v>
      </c>
      <c r="BP3" s="47"/>
      <c r="BQ3" s="47"/>
      <c r="BR3" s="47"/>
      <c r="BS3" s="47"/>
      <c r="BT3" s="47"/>
      <c r="BU3" s="47"/>
      <c r="BV3" s="47"/>
      <c r="BW3" s="48" t="s">
        <v>21</v>
      </c>
      <c r="BX3" s="49"/>
      <c r="BY3" s="28" t="s">
        <v>22</v>
      </c>
      <c r="BZ3" s="28" t="s">
        <v>23</v>
      </c>
      <c r="CA3" s="28" t="s">
        <v>24</v>
      </c>
      <c r="CB3" s="28" t="s">
        <v>25</v>
      </c>
      <c r="CC3" s="28" t="s">
        <v>26</v>
      </c>
    </row>
    <row r="4" spans="1:81" ht="46.8">
      <c r="A4" s="31" t="s">
        <v>27</v>
      </c>
      <c r="B4" s="31" t="s">
        <v>28</v>
      </c>
      <c r="C4" s="31" t="s">
        <v>29</v>
      </c>
      <c r="D4" s="31" t="s">
        <v>30</v>
      </c>
      <c r="E4" s="31" t="s">
        <v>31</v>
      </c>
      <c r="F4" s="31" t="s">
        <v>32</v>
      </c>
      <c r="G4" s="31" t="s">
        <v>33</v>
      </c>
      <c r="H4" s="31" t="s">
        <v>34</v>
      </c>
      <c r="I4" s="31" t="s">
        <v>35</v>
      </c>
      <c r="J4" s="31" t="s">
        <v>36</v>
      </c>
      <c r="K4" s="29" t="s">
        <v>37</v>
      </c>
      <c r="L4" s="29" t="s">
        <v>38</v>
      </c>
      <c r="M4" s="29" t="s">
        <v>39</v>
      </c>
      <c r="N4" s="29" t="s">
        <v>40</v>
      </c>
      <c r="O4" s="29" t="s">
        <v>41</v>
      </c>
      <c r="P4" s="29" t="s">
        <v>42</v>
      </c>
      <c r="Q4" s="29" t="s">
        <v>43</v>
      </c>
      <c r="R4" s="29" t="s">
        <v>44</v>
      </c>
      <c r="S4" s="29" t="s">
        <v>37</v>
      </c>
      <c r="T4" s="29" t="s">
        <v>38</v>
      </c>
      <c r="U4" s="29" t="s">
        <v>39</v>
      </c>
      <c r="V4" s="29" t="s">
        <v>40</v>
      </c>
      <c r="W4" s="29" t="s">
        <v>41</v>
      </c>
      <c r="X4" s="29" t="s">
        <v>42</v>
      </c>
      <c r="Y4" s="29" t="s">
        <v>43</v>
      </c>
      <c r="Z4" s="29" t="s">
        <v>44</v>
      </c>
      <c r="AA4" s="32" t="s">
        <v>37</v>
      </c>
      <c r="AB4" s="32" t="s">
        <v>38</v>
      </c>
      <c r="AC4" s="32" t="s">
        <v>39</v>
      </c>
      <c r="AD4" s="32" t="s">
        <v>40</v>
      </c>
      <c r="AE4" s="32" t="s">
        <v>41</v>
      </c>
      <c r="AF4" s="32" t="s">
        <v>42</v>
      </c>
      <c r="AG4" s="32" t="s">
        <v>43</v>
      </c>
      <c r="AH4" s="32" t="s">
        <v>44</v>
      </c>
      <c r="AI4" s="32" t="s">
        <v>37</v>
      </c>
      <c r="AJ4" s="32" t="s">
        <v>38</v>
      </c>
      <c r="AK4" s="32" t="s">
        <v>39</v>
      </c>
      <c r="AL4" s="32" t="s">
        <v>40</v>
      </c>
      <c r="AM4" s="32" t="s">
        <v>41</v>
      </c>
      <c r="AN4" s="32" t="s">
        <v>42</v>
      </c>
      <c r="AO4" s="32" t="s">
        <v>43</v>
      </c>
      <c r="AP4" s="32" t="s">
        <v>44</v>
      </c>
      <c r="AQ4" s="32" t="s">
        <v>37</v>
      </c>
      <c r="AR4" s="32" t="s">
        <v>38</v>
      </c>
      <c r="AS4" s="32" t="s">
        <v>39</v>
      </c>
      <c r="AT4" s="32" t="s">
        <v>40</v>
      </c>
      <c r="AU4" s="32" t="s">
        <v>41</v>
      </c>
      <c r="AV4" s="32" t="s">
        <v>42</v>
      </c>
      <c r="AW4" s="32" t="s">
        <v>43</v>
      </c>
      <c r="AX4" s="32" t="s">
        <v>44</v>
      </c>
      <c r="AY4" s="33" t="s">
        <v>37</v>
      </c>
      <c r="AZ4" s="33" t="s">
        <v>38</v>
      </c>
      <c r="BA4" s="33" t="s">
        <v>39</v>
      </c>
      <c r="BB4" s="33" t="s">
        <v>40</v>
      </c>
      <c r="BC4" s="33" t="s">
        <v>41</v>
      </c>
      <c r="BD4" s="33" t="s">
        <v>42</v>
      </c>
      <c r="BE4" s="33" t="s">
        <v>43</v>
      </c>
      <c r="BF4" s="33" t="s">
        <v>44</v>
      </c>
      <c r="BG4" s="33" t="s">
        <v>37</v>
      </c>
      <c r="BH4" s="33" t="s">
        <v>38</v>
      </c>
      <c r="BI4" s="33" t="s">
        <v>39</v>
      </c>
      <c r="BJ4" s="33" t="s">
        <v>40</v>
      </c>
      <c r="BK4" s="33" t="s">
        <v>41</v>
      </c>
      <c r="BL4" s="33" t="s">
        <v>42</v>
      </c>
      <c r="BM4" s="33" t="s">
        <v>43</v>
      </c>
      <c r="BN4" s="33" t="s">
        <v>44</v>
      </c>
      <c r="BO4" s="33" t="s">
        <v>37</v>
      </c>
      <c r="BP4" s="33" t="s">
        <v>38</v>
      </c>
      <c r="BQ4" s="33" t="s">
        <v>39</v>
      </c>
      <c r="BR4" s="33" t="s">
        <v>40</v>
      </c>
      <c r="BS4" s="33" t="s">
        <v>41</v>
      </c>
      <c r="BT4" s="33" t="s">
        <v>42</v>
      </c>
      <c r="BU4" s="33" t="s">
        <v>43</v>
      </c>
      <c r="BV4" s="33" t="s">
        <v>44</v>
      </c>
      <c r="BW4" s="30" t="s">
        <v>45</v>
      </c>
      <c r="BX4" s="30" t="s">
        <v>39</v>
      </c>
      <c r="BY4" s="31" t="s">
        <v>46</v>
      </c>
      <c r="BZ4" s="31" t="s">
        <v>47</v>
      </c>
      <c r="CA4" s="31" t="s">
        <v>48</v>
      </c>
      <c r="CB4" s="31" t="s">
        <v>49</v>
      </c>
      <c r="CC4" s="31" t="s">
        <v>50</v>
      </c>
    </row>
    <row r="5" spans="1:81" ht="45.6">
      <c r="A5" s="6" t="s">
        <v>51</v>
      </c>
      <c r="B5" s="3" t="s">
        <v>52</v>
      </c>
      <c r="C5" s="34" t="s">
        <v>53</v>
      </c>
      <c r="D5" s="34" t="s">
        <v>54</v>
      </c>
      <c r="E5" s="34" t="s">
        <v>55</v>
      </c>
      <c r="F5" s="34" t="s">
        <v>56</v>
      </c>
      <c r="G5" s="3" t="e">
        <f>CB5-CA5</f>
        <v>#VALUE!</v>
      </c>
      <c r="H5" s="4" t="s">
        <v>57</v>
      </c>
      <c r="I5" s="4" t="s">
        <v>58</v>
      </c>
      <c r="J5" s="35" t="s">
        <v>59</v>
      </c>
      <c r="K5" s="36" t="s">
        <v>60</v>
      </c>
      <c r="L5" s="37" t="s">
        <v>61</v>
      </c>
      <c r="M5" s="37" t="s">
        <v>62</v>
      </c>
      <c r="N5" s="37" t="s">
        <v>63</v>
      </c>
      <c r="O5" s="37" t="s">
        <v>64</v>
      </c>
      <c r="P5" s="37" t="s">
        <v>65</v>
      </c>
      <c r="Q5" s="37" t="s">
        <v>66</v>
      </c>
      <c r="R5" s="37" t="s">
        <v>67</v>
      </c>
      <c r="S5" s="37" t="s">
        <v>68</v>
      </c>
      <c r="T5" s="37" t="s">
        <v>69</v>
      </c>
      <c r="U5" s="37" t="s">
        <v>70</v>
      </c>
      <c r="V5" s="37" t="s">
        <v>71</v>
      </c>
      <c r="W5" s="37" t="s">
        <v>72</v>
      </c>
      <c r="X5" s="37" t="s">
        <v>73</v>
      </c>
      <c r="Y5" s="37" t="s">
        <v>74</v>
      </c>
      <c r="Z5" s="37" t="s">
        <v>75</v>
      </c>
      <c r="AA5" s="37" t="s">
        <v>76</v>
      </c>
      <c r="AB5" s="37" t="s">
        <v>77</v>
      </c>
      <c r="AC5" s="37" t="s">
        <v>78</v>
      </c>
      <c r="AD5" s="37" t="s">
        <v>79</v>
      </c>
      <c r="AE5" s="37" t="s">
        <v>80</v>
      </c>
      <c r="AF5" s="37" t="s">
        <v>81</v>
      </c>
      <c r="AG5" s="37" t="s">
        <v>82</v>
      </c>
      <c r="AH5" s="37" t="s">
        <v>83</v>
      </c>
      <c r="AI5" s="37" t="s">
        <v>84</v>
      </c>
      <c r="AJ5" s="37" t="s">
        <v>85</v>
      </c>
      <c r="AK5" s="37" t="s">
        <v>86</v>
      </c>
      <c r="AL5" s="37" t="s">
        <v>87</v>
      </c>
      <c r="AM5" s="37" t="s">
        <v>88</v>
      </c>
      <c r="AN5" s="37" t="s">
        <v>89</v>
      </c>
      <c r="AO5" s="37" t="s">
        <v>90</v>
      </c>
      <c r="AP5" s="37" t="s">
        <v>91</v>
      </c>
      <c r="AQ5" s="37" t="s">
        <v>92</v>
      </c>
      <c r="AR5" s="37" t="s">
        <v>93</v>
      </c>
      <c r="AS5" s="37" t="s">
        <v>94</v>
      </c>
      <c r="AT5" s="37" t="s">
        <v>95</v>
      </c>
      <c r="AU5" s="37" t="s">
        <v>96</v>
      </c>
      <c r="AV5" s="37" t="s">
        <v>97</v>
      </c>
      <c r="AW5" s="37" t="s">
        <v>98</v>
      </c>
      <c r="AX5" s="37" t="s">
        <v>99</v>
      </c>
      <c r="AY5" s="37" t="s">
        <v>100</v>
      </c>
      <c r="AZ5" s="37" t="s">
        <v>101</v>
      </c>
      <c r="BA5" s="37" t="s">
        <v>102</v>
      </c>
      <c r="BB5" s="37" t="s">
        <v>103</v>
      </c>
      <c r="BC5" s="37" t="s">
        <v>104</v>
      </c>
      <c r="BD5" s="37" t="s">
        <v>105</v>
      </c>
      <c r="BE5" s="37" t="s">
        <v>106</v>
      </c>
      <c r="BF5" s="37" t="s">
        <v>107</v>
      </c>
      <c r="BG5" s="37" t="s">
        <v>108</v>
      </c>
      <c r="BH5" s="37" t="s">
        <v>109</v>
      </c>
      <c r="BI5" s="37" t="s">
        <v>110</v>
      </c>
      <c r="BJ5" s="37" t="s">
        <v>111</v>
      </c>
      <c r="BK5" s="37" t="s">
        <v>112</v>
      </c>
      <c r="BL5" s="37" t="s">
        <v>113</v>
      </c>
      <c r="BM5" s="37" t="s">
        <v>114</v>
      </c>
      <c r="BN5" s="37" t="s">
        <v>115</v>
      </c>
      <c r="BO5" s="37" t="s">
        <v>116</v>
      </c>
      <c r="BP5" s="37" t="s">
        <v>117</v>
      </c>
      <c r="BQ5" s="37" t="s">
        <v>118</v>
      </c>
      <c r="BR5" s="37" t="s">
        <v>119</v>
      </c>
      <c r="BS5" s="37" t="s">
        <v>120</v>
      </c>
      <c r="BT5" s="37" t="s">
        <v>121</v>
      </c>
      <c r="BU5" s="37" t="s">
        <v>122</v>
      </c>
      <c r="BV5" s="38" t="s">
        <v>123</v>
      </c>
      <c r="BW5" s="37" t="e">
        <f>AZ5+BH5+BP5</f>
        <v>#VALUE!</v>
      </c>
      <c r="BX5" s="37" t="e">
        <f>BI5+BQ5+BA5</f>
        <v>#VALUE!</v>
      </c>
      <c r="BY5" s="37" t="e">
        <f>L5+T5+AB5+AJ5+AR5+AZ5+BH5+BP5</f>
        <v>#VALUE!</v>
      </c>
      <c r="BZ5" s="39" t="s">
        <v>124</v>
      </c>
      <c r="CA5" s="39" t="s">
        <v>125</v>
      </c>
      <c r="CB5" s="3" t="s">
        <v>126</v>
      </c>
      <c r="CC5" s="3" t="s">
        <v>127</v>
      </c>
    </row>
  </sheetData>
  <mergeCells count="9">
    <mergeCell ref="AY3:BF3"/>
    <mergeCell ref="BG3:BN3"/>
    <mergeCell ref="BO3:BV3"/>
    <mergeCell ref="BW3:BX3"/>
    <mergeCell ref="K3:R3"/>
    <mergeCell ref="S3:Z3"/>
    <mergeCell ref="AA3:AH3"/>
    <mergeCell ref="AI3:AP3"/>
    <mergeCell ref="AQ3:AX3"/>
  </mergeCells>
  <phoneticPr fontId="24" type="noConversion"/>
  <conditionalFormatting sqref="C2:D2">
    <cfRule type="duplicateValues" dxfId="0" priority="1" stopIfTrue="1"/>
  </conditionalFormatting>
  <dataValidations count="1">
    <dataValidation type="list" allowBlank="1" showInputMessage="1" showErrorMessage="1" sqref="O4 W4 AE4 AM4 AU4 BC4 BK4 BS4" xr:uid="{00000000-0002-0000-0000-000000000000}">
      <formula1>"正常,首检,试验,收尾,量试"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95E71-A6C7-4B3F-983D-BC63B27DFCA8}">
  <sheetPr>
    <tabColor rgb="FF00B050"/>
  </sheetPr>
  <dimension ref="A1:R4"/>
  <sheetViews>
    <sheetView tabSelected="1" zoomScaleNormal="100" workbookViewId="0">
      <selection activeCell="O4" sqref="O4"/>
    </sheetView>
  </sheetViews>
  <sheetFormatPr defaultColWidth="8" defaultRowHeight="11.4"/>
  <cols>
    <col min="1" max="1" width="3" style="7" customWidth="1" collapsed="1"/>
    <col min="2" max="2" width="8.8984375" style="8" customWidth="1" collapsed="1"/>
    <col min="3" max="4" width="5.59765625" style="9" customWidth="1" collapsed="1"/>
    <col min="5" max="5" width="4.69921875" style="9" customWidth="1" collapsed="1"/>
    <col min="6" max="6" width="10.19921875" style="7" customWidth="1" collapsed="1"/>
    <col min="7" max="7" width="34.09765625" style="10" customWidth="1" collapsed="1"/>
    <col min="8" max="8" width="10.19921875" style="7" customWidth="1" collapsed="1"/>
    <col min="9" max="9" width="34.09765625" style="10" customWidth="1" collapsed="1"/>
    <col min="10" max="10" width="8.69921875" style="10" customWidth="1"/>
    <col min="11" max="11" width="5.796875" style="10" customWidth="1" collapsed="1"/>
    <col min="12" max="14" width="5.796875" style="9" customWidth="1" collapsed="1"/>
    <col min="15" max="15" width="27.3984375" style="9" customWidth="1" collapsed="1"/>
    <col min="16" max="16" width="9" style="9" customWidth="1" collapsed="1"/>
    <col min="17" max="18" width="8" style="9"/>
    <col min="19" max="16384" width="8" style="9" collapsed="1"/>
  </cols>
  <sheetData>
    <row r="1" spans="1:16" ht="33.75" customHeight="1">
      <c r="A1" s="14"/>
      <c r="B1" s="45"/>
      <c r="C1" s="45"/>
      <c r="D1" s="45"/>
      <c r="E1" s="45"/>
      <c r="F1" s="45"/>
      <c r="G1" s="46" t="s">
        <v>200</v>
      </c>
      <c r="H1" s="45"/>
      <c r="I1" s="45"/>
      <c r="J1" s="45"/>
      <c r="K1" s="45"/>
      <c r="L1" s="45"/>
      <c r="M1" s="45"/>
      <c r="N1" s="45"/>
      <c r="O1" s="44"/>
      <c r="P1" s="43"/>
    </row>
    <row r="2" spans="1:16" s="40" customFormat="1" ht="34.200000000000003" customHeight="1">
      <c r="A2" s="42" t="s">
        <v>128</v>
      </c>
      <c r="B2" s="42" t="s">
        <v>129</v>
      </c>
      <c r="C2" s="42" t="s">
        <v>130</v>
      </c>
      <c r="D2" s="42" t="s">
        <v>131</v>
      </c>
      <c r="E2" s="42" t="s">
        <v>132</v>
      </c>
      <c r="F2" s="42" t="s">
        <v>133</v>
      </c>
      <c r="G2" s="42" t="s">
        <v>5</v>
      </c>
      <c r="H2" s="42" t="s">
        <v>134</v>
      </c>
      <c r="I2" s="42" t="s">
        <v>5</v>
      </c>
      <c r="J2" s="42" t="s">
        <v>199</v>
      </c>
      <c r="K2" s="42" t="s">
        <v>198</v>
      </c>
      <c r="L2" s="42" t="s">
        <v>135</v>
      </c>
      <c r="M2" s="42" t="s">
        <v>136</v>
      </c>
      <c r="N2" s="42" t="s">
        <v>137</v>
      </c>
      <c r="O2" s="42" t="s">
        <v>138</v>
      </c>
      <c r="P2" s="42" t="s">
        <v>26</v>
      </c>
    </row>
    <row r="3" spans="1:16" s="40" customFormat="1" ht="68.25" customHeight="1">
      <c r="A3" s="41" t="s">
        <v>139</v>
      </c>
      <c r="B3" s="41" t="s">
        <v>140</v>
      </c>
      <c r="C3" s="41" t="s">
        <v>141</v>
      </c>
      <c r="D3" s="41" t="s">
        <v>27</v>
      </c>
      <c r="E3" s="41" t="s">
        <v>197</v>
      </c>
      <c r="F3" s="41" t="s">
        <v>196</v>
      </c>
      <c r="G3" s="41" t="s">
        <v>195</v>
      </c>
      <c r="H3" s="41" t="s">
        <v>194</v>
      </c>
      <c r="I3" s="41" t="s">
        <v>193</v>
      </c>
      <c r="J3" s="41" t="s">
        <v>192</v>
      </c>
      <c r="K3" s="41" t="s">
        <v>191</v>
      </c>
      <c r="L3" s="41" t="s">
        <v>190</v>
      </c>
      <c r="M3" s="41" t="s">
        <v>189</v>
      </c>
      <c r="N3" s="41" t="s">
        <v>188</v>
      </c>
      <c r="O3" s="41" t="s">
        <v>187</v>
      </c>
      <c r="P3" s="41" t="s">
        <v>50</v>
      </c>
    </row>
    <row r="4" spans="1:16" ht="11.4" customHeight="1">
      <c r="A4" s="13" t="s">
        <v>142</v>
      </c>
      <c r="B4" s="11" t="s">
        <v>143</v>
      </c>
      <c r="C4" s="12" t="s">
        <v>144</v>
      </c>
      <c r="D4" s="13" t="s">
        <v>51</v>
      </c>
      <c r="E4" s="14" t="s">
        <v>145</v>
      </c>
      <c r="F4" s="14" t="s">
        <v>146</v>
      </c>
      <c r="G4" s="15" t="s">
        <v>186</v>
      </c>
      <c r="H4" s="13" t="s">
        <v>147</v>
      </c>
      <c r="I4" s="15" t="s">
        <v>148</v>
      </c>
      <c r="J4" s="15" t="s">
        <v>185</v>
      </c>
      <c r="K4" s="15" t="s">
        <v>184</v>
      </c>
      <c r="L4" s="14" t="s">
        <v>149</v>
      </c>
      <c r="M4" s="14" t="s">
        <v>150</v>
      </c>
      <c r="N4" s="14" t="s">
        <v>151</v>
      </c>
      <c r="O4" s="13" t="s">
        <v>152</v>
      </c>
      <c r="P4" s="13" t="s">
        <v>127</v>
      </c>
    </row>
  </sheetData>
  <autoFilter ref="A3:P4" xr:uid="{00000000-0009-0000-0000-000001000000}"/>
  <phoneticPr fontId="24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O5" sqref="O5"/>
    </sheetView>
  </sheetViews>
  <sheetFormatPr defaultColWidth="8.69921875" defaultRowHeight="11.4"/>
  <cols>
    <col min="1" max="1" width="18.09765625" style="1" customWidth="1"/>
    <col min="2" max="5" width="15.59765625" style="1" customWidth="1"/>
    <col min="6" max="16384" width="8.69921875" style="1"/>
  </cols>
  <sheetData>
    <row r="1" spans="1:6" ht="34.5" customHeight="1">
      <c r="A1" s="63" t="s">
        <v>153</v>
      </c>
      <c r="B1" s="64"/>
      <c r="C1" s="64"/>
      <c r="D1" s="64"/>
      <c r="E1" s="65"/>
      <c r="F1" s="2"/>
    </row>
    <row r="2" spans="1:6" ht="25.2" customHeight="1">
      <c r="A2" s="57" t="s">
        <v>154</v>
      </c>
      <c r="B2" s="3" t="s">
        <v>155</v>
      </c>
      <c r="C2" s="3" t="s">
        <v>156</v>
      </c>
      <c r="D2" s="3" t="s">
        <v>157</v>
      </c>
      <c r="E2" s="3" t="s">
        <v>158</v>
      </c>
      <c r="F2" s="2"/>
    </row>
    <row r="3" spans="1:6" ht="25.2" customHeight="1">
      <c r="A3" s="58"/>
      <c r="B3" s="4" t="s">
        <v>159</v>
      </c>
      <c r="C3" s="4" t="s">
        <v>160</v>
      </c>
      <c r="D3" s="4" t="s">
        <v>161</v>
      </c>
      <c r="E3" s="4" t="s">
        <v>162</v>
      </c>
      <c r="F3" s="2"/>
    </row>
    <row r="4" spans="1:6" ht="30" customHeight="1">
      <c r="A4" s="3" t="s">
        <v>163</v>
      </c>
      <c r="B4" s="66" t="s">
        <v>164</v>
      </c>
      <c r="C4" s="54"/>
      <c r="D4" s="54"/>
      <c r="E4" s="55"/>
      <c r="F4" s="2"/>
    </row>
    <row r="5" spans="1:6" ht="30" customHeight="1">
      <c r="A5" s="3" t="s">
        <v>165</v>
      </c>
      <c r="B5" s="53" t="s">
        <v>166</v>
      </c>
      <c r="C5" s="54"/>
      <c r="D5" s="54"/>
      <c r="E5" s="55"/>
      <c r="F5" s="2"/>
    </row>
    <row r="6" spans="1:6" ht="30" customHeight="1">
      <c r="A6" s="4" t="s">
        <v>167</v>
      </c>
      <c r="B6" s="53" t="s">
        <v>168</v>
      </c>
      <c r="C6" s="54"/>
      <c r="D6" s="54"/>
      <c r="E6" s="55"/>
      <c r="F6" s="2"/>
    </row>
    <row r="7" spans="1:6" ht="30" customHeight="1">
      <c r="A7" s="5" t="s">
        <v>169</v>
      </c>
      <c r="B7" s="3" t="s">
        <v>170</v>
      </c>
      <c r="C7" s="67" t="s">
        <v>171</v>
      </c>
      <c r="D7" s="68"/>
      <c r="E7" s="69"/>
      <c r="F7" s="2"/>
    </row>
    <row r="8" spans="1:6" ht="25.2" customHeight="1">
      <c r="A8" s="57" t="s">
        <v>172</v>
      </c>
      <c r="B8" s="3" t="s">
        <v>155</v>
      </c>
      <c r="C8" s="3" t="s">
        <v>156</v>
      </c>
      <c r="D8" s="3" t="s">
        <v>157</v>
      </c>
      <c r="E8" s="3" t="s">
        <v>158</v>
      </c>
      <c r="F8" s="2"/>
    </row>
    <row r="9" spans="1:6" ht="25.2" customHeight="1">
      <c r="A9" s="58"/>
      <c r="B9" s="4" t="e">
        <f>#REF!</f>
        <v>#REF!</v>
      </c>
      <c r="C9" s="4" t="e">
        <f>#REF!</f>
        <v>#REF!</v>
      </c>
      <c r="D9" s="3" t="e">
        <f>#REF!</f>
        <v>#REF!</v>
      </c>
      <c r="E9" s="4" t="e">
        <f>SUM(B9:D9)</f>
        <v>#REF!</v>
      </c>
      <c r="F9" s="2"/>
    </row>
    <row r="10" spans="1:6" ht="25.2" customHeight="1">
      <c r="A10" s="4" t="s">
        <v>173</v>
      </c>
      <c r="B10" s="4">
        <f ca="1">COUNTA(#REF!:OFFSET(#REF!,COUNTA(#REF!)-1,0))-1</f>
        <v>0</v>
      </c>
      <c r="C10" s="4">
        <f ca="1">COUNTA(#REF!:OFFSET(#REF!,COUNTA(#REF!)-1,0))-1</f>
        <v>0</v>
      </c>
      <c r="D10" s="4">
        <f ca="1">COUNTA(#REF!:OFFSET(#REF!,COUNTA(#REF!)-1,0))-1</f>
        <v>0</v>
      </c>
      <c r="E10" s="4">
        <f ca="1">SUM(B10:D10)</f>
        <v>0</v>
      </c>
      <c r="F10" s="2"/>
    </row>
    <row r="11" spans="1:6" ht="30" customHeight="1">
      <c r="A11" s="3" t="s">
        <v>174</v>
      </c>
      <c r="B11" s="61" t="s">
        <v>175</v>
      </c>
      <c r="C11" s="53" t="s">
        <v>176</v>
      </c>
      <c r="D11" s="54"/>
      <c r="E11" s="55"/>
      <c r="F11" s="2"/>
    </row>
    <row r="12" spans="1:6" ht="30" customHeight="1">
      <c r="A12" s="3" t="s">
        <v>177</v>
      </c>
      <c r="B12" s="62"/>
      <c r="C12" s="53" t="s">
        <v>178</v>
      </c>
      <c r="D12" s="54"/>
      <c r="E12" s="55"/>
      <c r="F12" s="2"/>
    </row>
    <row r="13" spans="1:6" ht="30" customHeight="1">
      <c r="A13" s="59" t="s">
        <v>179</v>
      </c>
      <c r="B13" s="3" t="s">
        <v>180</v>
      </c>
      <c r="C13" s="56" t="s">
        <v>181</v>
      </c>
      <c r="D13" s="56"/>
      <c r="E13" s="56"/>
      <c r="F13" s="2"/>
    </row>
    <row r="14" spans="1:6" ht="30" customHeight="1">
      <c r="A14" s="60"/>
      <c r="B14" s="3" t="s">
        <v>182</v>
      </c>
      <c r="C14" s="56" t="s">
        <v>183</v>
      </c>
      <c r="D14" s="56"/>
      <c r="E14" s="56"/>
      <c r="F14" s="2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honeticPr fontId="2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2026-05-15T10:15:09Z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