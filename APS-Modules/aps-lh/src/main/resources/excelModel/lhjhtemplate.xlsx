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E\CODES\JY_APS\JY_APS_CODE\jy_aps_admin\APS-Modules\aps-lh\src\main\resources\excelModel\"/>
    </mc:Choice>
  </mc:AlternateContent>
  <xr:revisionPtr revIDLastSave="0" documentId="13_ncr:1_{AC0F0F5B-D877-46BA-8028-066ED92B5EBD}" xr6:coauthVersionLast="36" xr6:coauthVersionMax="47" xr10:uidLastSave="{00000000-0000-0000-0000-000000000000}"/>
  <bookViews>
    <workbookView xWindow="-105" yWindow="-105" windowWidth="23250" windowHeight="12450" tabRatio="844" xr2:uid="{00000000-000D-0000-FFFF-FFFF00000000}"/>
  </bookViews>
  <sheets>
    <sheet name="硫化日计划" sheetId="1" r:id="rId1"/>
    <sheet name="硫化换模计划" sheetId="2" r:id="rId2"/>
  </sheets>
  <definedNames>
    <definedName name="_xlnm._FilterDatabase" localSheetId="1" hidden="1">硫化换模计划!$A$4:$P$5</definedName>
    <definedName name="A">#REF!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3" i="1" l="1"/>
  <c r="BL3" i="1"/>
  <c r="BD3" i="1"/>
  <c r="AV3" i="1"/>
  <c r="AN3" i="1"/>
  <c r="AF3" i="1"/>
  <c r="X3" i="1"/>
  <c r="P3" i="1"/>
  <c r="D3" i="1"/>
  <c r="B3" i="1"/>
</calcChain>
</file>

<file path=xl/sharedStrings.xml><?xml version="1.0" encoding="utf-8"?>
<sst xmlns="http://schemas.openxmlformats.org/spreadsheetml/2006/main" count="337" uniqueCount="273">
  <si>
    <t>sameMaterialPlanQtyTotal</t>
  </si>
  <si>
    <t>nightPlanQtyTotal</t>
  </si>
  <si>
    <t>nightFinishQtyTotal</t>
  </si>
  <si>
    <t>totalPlanQtyFormula</t>
  </si>
  <si>
    <t>lhMachineCode</t>
  </si>
  <si>
    <t>materialCode</t>
  </si>
  <si>
    <t>materialDesc</t>
  </si>
  <si>
    <t>embryoCode</t>
  </si>
  <si>
    <t>mainMaterialDesc</t>
  </si>
  <si>
    <t>structureName</t>
  </si>
  <si>
    <t>dailyPlanQty</t>
  </si>
  <si>
    <t>embryoStock</t>
  </si>
  <si>
    <t>replaceCapsuleCountLeftRight</t>
  </si>
  <si>
    <t>singleMouldShiftQty</t>
  </si>
  <si>
    <t>class1Order</t>
  </si>
  <si>
    <t>class1PlanQty</t>
  </si>
  <si>
    <t>class1FinishQty</t>
  </si>
  <si>
    <t>class1LeftRightMould</t>
  </si>
  <si>
    <t>class1IsEnd</t>
  </si>
  <si>
    <t>class1LhType</t>
  </si>
  <si>
    <t>class1Analysis</t>
  </si>
  <si>
    <t>class1Dot</t>
  </si>
  <si>
    <t>class2Order</t>
  </si>
  <si>
    <t>class2PlanQty</t>
  </si>
  <si>
    <t>class2FinishQty</t>
  </si>
  <si>
    <t>class2LeftRightMould</t>
  </si>
  <si>
    <t>class2IsEnd</t>
  </si>
  <si>
    <t>class2LhType</t>
  </si>
  <si>
    <t>class2Analysis</t>
  </si>
  <si>
    <t>class2Dot</t>
  </si>
  <si>
    <t>class3Order</t>
  </si>
  <si>
    <t>class3PlanQty</t>
  </si>
  <si>
    <t>class3FinishQty</t>
  </si>
  <si>
    <t>class3LeftRightMould</t>
  </si>
  <si>
    <t>class3IsEnd</t>
  </si>
  <si>
    <t>class3LhType</t>
  </si>
  <si>
    <t>class3Analysis</t>
  </si>
  <si>
    <t>class3Dot</t>
  </si>
  <si>
    <t>class4Order</t>
  </si>
  <si>
    <t>class4PlanQty</t>
  </si>
  <si>
    <t>class4FinishQty</t>
  </si>
  <si>
    <t>class4LeftRightMould</t>
  </si>
  <si>
    <t>class4IsEnd</t>
  </si>
  <si>
    <t>class4LhType</t>
  </si>
  <si>
    <t>class4Analysis</t>
  </si>
  <si>
    <t>class4Dot</t>
  </si>
  <si>
    <t>class5Order</t>
  </si>
  <si>
    <t>class5PlanQty</t>
  </si>
  <si>
    <t>class5FinishQty</t>
  </si>
  <si>
    <t>class5LeftRightMould</t>
  </si>
  <si>
    <t>class5IsEnd</t>
  </si>
  <si>
    <t>class5LhType</t>
  </si>
  <si>
    <t>class5Analysis</t>
  </si>
  <si>
    <t>class5Dot</t>
  </si>
  <si>
    <t>class6Order</t>
  </si>
  <si>
    <t>class6PlanQty</t>
  </si>
  <si>
    <t>class6FinishQty</t>
  </si>
  <si>
    <t>class6LeftRightMould</t>
  </si>
  <si>
    <t>class6IsEnd</t>
  </si>
  <si>
    <t>class6LhType</t>
  </si>
  <si>
    <t>class6Analysis</t>
  </si>
  <si>
    <t>class6Dot</t>
  </si>
  <si>
    <t>class7Order</t>
  </si>
  <si>
    <t>class7PlanQty</t>
  </si>
  <si>
    <t>class7FinishQty</t>
  </si>
  <si>
    <t>class7LeftRightMould</t>
  </si>
  <si>
    <t>class7IsEnd</t>
  </si>
  <si>
    <t>class7LhType</t>
  </si>
  <si>
    <t>class7Analysis</t>
  </si>
  <si>
    <t>class7Dot</t>
  </si>
  <si>
    <t>class8Order</t>
  </si>
  <si>
    <t>class8PlanQty</t>
  </si>
  <si>
    <t>class8FinishQty</t>
  </si>
  <si>
    <t>class8LeftRightMould</t>
  </si>
  <si>
    <t>class8IsEnd</t>
  </si>
  <si>
    <t>class8LhType</t>
  </si>
  <si>
    <t>class8Analysis</t>
  </si>
  <si>
    <t>class8Dot</t>
  </si>
  <si>
    <t>cxMachineCode</t>
  </si>
  <si>
    <t>totalDailyPlanQty</t>
  </si>
  <si>
    <t>todayNightFinishQty</t>
  </si>
  <si>
    <t>remark</t>
  </si>
  <si>
    <r>
      <rPr>
        <sz val="10"/>
        <color theme="1"/>
        <rFont val="Arial"/>
        <family val="2"/>
      </rPr>
      <t>{yearmonthday}</t>
    </r>
    <r>
      <rPr>
        <sz val="10"/>
        <color theme="1"/>
        <rFont val="等线"/>
        <family val="3"/>
        <charset val="134"/>
      </rPr>
      <t>全钢硫化工程生产计划单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Đơ</t>
    </r>
    <r>
      <rPr>
        <sz val="10"/>
        <color theme="1"/>
        <rFont val="Arial"/>
        <family val="2"/>
      </rPr>
      <t>n k</t>
    </r>
    <r>
      <rPr>
        <sz val="10"/>
        <color theme="1"/>
        <rFont val="Arial"/>
        <family val="2"/>
      </rPr>
      <t>ế</t>
    </r>
    <r>
      <rPr>
        <sz val="10"/>
        <color theme="1"/>
        <rFont val="Arial"/>
        <family val="2"/>
      </rPr>
      <t xml:space="preserve"> ho</t>
    </r>
    <r>
      <rPr>
        <sz val="10"/>
        <color theme="1"/>
        <rFont val="Arial"/>
        <family val="2"/>
      </rPr>
      <t>ạ</t>
    </r>
    <r>
      <rPr>
        <sz val="10"/>
        <color theme="1"/>
        <rFont val="Arial"/>
        <family val="2"/>
      </rPr>
      <t>ch s</t>
    </r>
    <r>
      <rPr>
        <sz val="10"/>
        <color theme="1"/>
        <rFont val="Arial"/>
        <family val="2"/>
      </rPr>
      <t>ả</t>
    </r>
    <r>
      <rPr>
        <sz val="10"/>
        <color theme="1"/>
        <rFont val="Arial"/>
        <family val="2"/>
      </rPr>
      <t>n xu</t>
    </r>
    <r>
      <rPr>
        <sz val="10"/>
        <color theme="1"/>
        <rFont val="Arial"/>
        <family val="2"/>
      </rPr>
      <t>ấ</t>
    </r>
    <r>
      <rPr>
        <sz val="10"/>
        <color theme="1"/>
        <rFont val="Arial"/>
        <family val="2"/>
      </rPr>
      <t>t c</t>
    </r>
    <r>
      <rPr>
        <sz val="10"/>
        <color theme="1"/>
        <rFont val="Arial"/>
        <family val="2"/>
      </rPr>
      <t>ủ</t>
    </r>
    <r>
      <rPr>
        <sz val="10"/>
        <color theme="1"/>
        <rFont val="Arial"/>
        <family val="2"/>
      </rPr>
      <t xml:space="preserve">a công </t>
    </r>
    <r>
      <rPr>
        <sz val="10"/>
        <color theme="1"/>
        <rFont val="Arial"/>
        <family val="2"/>
      </rPr>
      <t>đ</t>
    </r>
    <r>
      <rPr>
        <sz val="10"/>
        <color theme="1"/>
        <rFont val="Arial"/>
        <family val="2"/>
      </rPr>
      <t>o</t>
    </r>
    <r>
      <rPr>
        <sz val="10"/>
        <color theme="1"/>
        <rFont val="Arial"/>
        <family val="2"/>
      </rPr>
      <t>ạ</t>
    </r>
    <r>
      <rPr>
        <sz val="10"/>
        <color theme="1"/>
        <rFont val="Arial"/>
        <family val="2"/>
      </rPr>
      <t>n l</t>
    </r>
    <r>
      <rPr>
        <sz val="10"/>
        <color theme="1"/>
        <rFont val="Arial"/>
        <family val="2"/>
      </rPr>
      <t>ư</t>
    </r>
    <r>
      <rPr>
        <sz val="10"/>
        <color theme="1"/>
        <rFont val="Arial"/>
        <family val="2"/>
      </rPr>
      <t>u hóa toàn thép</t>
    </r>
  </si>
  <si>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等线"/>
        <family val="3"/>
        <charset val="134"/>
      </rPr>
      <t>版本号</t>
    </r>
    <r>
      <rPr>
        <sz val="9"/>
        <color rgb="FF000000"/>
        <rFont val="Arial"/>
        <family val="2"/>
      </rPr>
      <t>phiên bản</t>
    </r>
    <r>
      <rPr>
        <sz val="9"/>
        <color rgb="FF000000"/>
        <rFont val="等线"/>
        <family val="3"/>
        <charset val="134"/>
      </rPr>
      <t>：</t>
    </r>
    <r>
      <rPr>
        <sz val="9"/>
        <color rgb="FF000000"/>
        <rFont val="Arial"/>
        <family val="2"/>
      </rPr>
      <t>{productionVersion}</t>
    </r>
  </si>
  <si>
    <r>
      <rPr>
        <sz val="9"/>
        <color theme="1"/>
        <rFont val="等线"/>
        <family val="3"/>
        <charset val="134"/>
      </rPr>
      <t>班产合计</t>
    </r>
    <r>
      <rPr>
        <sz val="9"/>
        <color theme="1"/>
        <rFont val="Arial"/>
        <family val="2"/>
      </rPr>
      <t xml:space="preserve">
Tổng kế hoạch</t>
    </r>
    <r>
      <rPr>
        <sz val="9"/>
        <color theme="1"/>
        <rFont val="等线"/>
        <family val="3"/>
        <charset val="134"/>
      </rPr>
      <t>：</t>
    </r>
  </si>
  <si>
    <t>合计
Tổng</t>
  </si>
  <si>
    <t xml:space="preserve">总计
</t>
  </si>
  <si>
    <t>*机台</t>
  </si>
  <si>
    <t>硫化物料号</t>
  </si>
  <si>
    <t xml:space="preserve">物料描述
</t>
  </si>
  <si>
    <t xml:space="preserve">*胎胚编码
</t>
  </si>
  <si>
    <t xml:space="preserve">胎胚描述
</t>
  </si>
  <si>
    <t>结构</t>
  </si>
  <si>
    <t>合计余量</t>
  </si>
  <si>
    <t xml:space="preserve">胎胚库存
</t>
  </si>
  <si>
    <t>胶囊次数L/R</t>
  </si>
  <si>
    <t xml:space="preserve">硫化班产
</t>
  </si>
  <si>
    <t>早班 Ca sáng {shiftDate1}</t>
  </si>
  <si>
    <t>中班 Ca chiều {shiftDate2}</t>
  </si>
  <si>
    <t>夜班 Ca đêm {shiftDate3}</t>
  </si>
  <si>
    <t>早班 Ca sáng {shiftDate4}</t>
  </si>
  <si>
    <t>中班 Ca chiều {shiftDate5}</t>
  </si>
  <si>
    <t>夜班 Ca đêm {shiftDate6}</t>
  </si>
  <si>
    <t>早班 Ca sáng {shiftDate7}</t>
  </si>
  <si>
    <t>中班 Ca chiều {shiftDate8}</t>
  </si>
  <si>
    <t>对应成型机台号</t>
  </si>
  <si>
    <t xml:space="preserve">月计划订单总量
</t>
  </si>
  <si>
    <t>本月硫化产量（今天夜班）</t>
  </si>
  <si>
    <t xml:space="preserve">备注
</t>
  </si>
  <si>
    <t>计划
Kế hoạch</t>
  </si>
  <si>
    <t>实际
Thực tế</t>
  </si>
  <si>
    <t>Tổng</t>
  </si>
  <si>
    <t>Máy</t>
  </si>
  <si>
    <t>Mã NC</t>
  </si>
  <si>
    <t>Quy cách lưu hóa</t>
  </si>
  <si>
    <t>Mã vật liệu</t>
  </si>
  <si>
    <t>Phôi thành hình</t>
  </si>
  <si>
    <t xml:space="preserve">QUY CÁCH </t>
  </si>
  <si>
    <t>Số còn thiếu</t>
  </si>
  <si>
    <t>Phôi tồn</t>
  </si>
  <si>
    <t>Số lần sử dụng phao L/R</t>
  </si>
  <si>
    <t>Lưu hóa trong ca</t>
  </si>
  <si>
    <t>*顺序
Stt</t>
  </si>
  <si>
    <t>*计划
Kế hoạch</t>
  </si>
  <si>
    <t>左右模
Khuôn trái phải</t>
  </si>
  <si>
    <t>类型
Loại hình</t>
  </si>
  <si>
    <t>*示方类型
Phương thức</t>
  </si>
  <si>
    <t>*备注
Chú ý</t>
  </si>
  <si>
    <t xml:space="preserve">*DOT DOT
</t>
  </si>
  <si>
    <t>Tương ứng máy TH</t>
  </si>
  <si>
    <t xml:space="preserve">Đơn hàng </t>
  </si>
  <si>
    <t xml:space="preserve">Sản lượng lưu hóa đạt </t>
  </si>
  <si>
    <t>Ghi chú</t>
  </si>
  <si>
    <t>{.sameMaterialPlanQtyTotal}</t>
  </si>
  <si>
    <t>{.nightPlanQtyTotal}</t>
  </si>
  <si>
    <t>{.nightFinishQtyTotal}</t>
  </si>
  <si>
    <t>{.totalPlanQtyFormula}</t>
  </si>
  <si>
    <t>{.lhMachineCode}</t>
  </si>
  <si>
    <t>{.materialCode}</t>
  </si>
  <si>
    <t>{.materialDesc}</t>
  </si>
  <si>
    <t>{.embryoCode}</t>
  </si>
  <si>
    <t>{.mainMaterialDesc}</t>
  </si>
  <si>
    <t>{.structureName}</t>
  </si>
  <si>
    <t>{.dailyPlanQty}</t>
  </si>
  <si>
    <t>{.embryoStock}</t>
  </si>
  <si>
    <t>{.replaceCapsuleCountLeftRight}</t>
  </si>
  <si>
    <t>{.singleMouldShiftQty}</t>
  </si>
  <si>
    <t>{.class1Order}</t>
  </si>
  <si>
    <t>{.class1PlanQty}</t>
  </si>
  <si>
    <t>{.class1FinishQty}</t>
  </si>
  <si>
    <t>{.class1LeftRightMould}</t>
  </si>
  <si>
    <t>{.class1IsEnd}</t>
  </si>
  <si>
    <t>{.class1LhType}</t>
  </si>
  <si>
    <t>{.class1Analysis}</t>
  </si>
  <si>
    <t>{.class1Dot}</t>
  </si>
  <si>
    <t>{.class2Order}</t>
  </si>
  <si>
    <t>{.class2PlanQty}</t>
  </si>
  <si>
    <t>{.class2FinishQty}</t>
  </si>
  <si>
    <t>{.class2LeftRightMould}</t>
  </si>
  <si>
    <t>{.class2IsEnd}</t>
  </si>
  <si>
    <t>{.class2LhType}</t>
  </si>
  <si>
    <t>{.class2Analysis}</t>
  </si>
  <si>
    <t>{.class2Dot}</t>
  </si>
  <si>
    <t>{.class3Order}</t>
  </si>
  <si>
    <t>{.class3PlanQty}</t>
  </si>
  <si>
    <t>{.class3FinishQty}</t>
  </si>
  <si>
    <t>{.class3LeftRightMould}</t>
  </si>
  <si>
    <t>{.class3IsEnd}</t>
  </si>
  <si>
    <t>{.class3LhType}</t>
  </si>
  <si>
    <t>{.class3Analysis}</t>
  </si>
  <si>
    <t>{.class3Dot}</t>
  </si>
  <si>
    <t>{.class4Order}</t>
  </si>
  <si>
    <t>{.class4PlanQty}</t>
  </si>
  <si>
    <t>{.class4FinishQty}</t>
  </si>
  <si>
    <t>{.class4LeftRightMould}</t>
  </si>
  <si>
    <t>{.class4IsEnd}</t>
  </si>
  <si>
    <t>{.class4LhType}</t>
  </si>
  <si>
    <t>{.class4Analysis}</t>
  </si>
  <si>
    <t>{.class4Dot}</t>
  </si>
  <si>
    <t>{.class5Order}</t>
  </si>
  <si>
    <t>{.class5PlanQty}</t>
  </si>
  <si>
    <t>{.class5FinishQty}</t>
  </si>
  <si>
    <t>{.class5LeftRightMould}</t>
  </si>
  <si>
    <t>{.class5IsEnd}</t>
  </si>
  <si>
    <t>{.class5LhType}</t>
  </si>
  <si>
    <t>{.class5Analysis}</t>
  </si>
  <si>
    <t>{.class5Dot}</t>
  </si>
  <si>
    <t>{.class6Order}</t>
  </si>
  <si>
    <t>{.class6PlanQty}</t>
  </si>
  <si>
    <t>{.class6FinishQty}</t>
  </si>
  <si>
    <t>{.class6LeftRightMould}</t>
  </si>
  <si>
    <t>{.class6IsEnd}</t>
  </si>
  <si>
    <t>{.class6LhType}</t>
  </si>
  <si>
    <t>{.class6Analysis}</t>
  </si>
  <si>
    <t>{.class6Dot}</t>
  </si>
  <si>
    <t>{.class7Order}</t>
  </si>
  <si>
    <t>{.class7PlanQty}</t>
  </si>
  <si>
    <t>{.class7FinishQty}</t>
  </si>
  <si>
    <t>{.class7LeftRightMould}</t>
  </si>
  <si>
    <t>{.class7IsEnd}</t>
  </si>
  <si>
    <t>{.class7LhType}</t>
  </si>
  <si>
    <t>{.class7Analysis}</t>
  </si>
  <si>
    <t>{.class7Dot}</t>
  </si>
  <si>
    <t>{.class8Order}</t>
  </si>
  <si>
    <t>{.class8PlanQty}</t>
  </si>
  <si>
    <t>{.class8FinishQty}</t>
  </si>
  <si>
    <t>{.class8LeftRightMould}</t>
  </si>
  <si>
    <t>{.class8IsEnd}</t>
  </si>
  <si>
    <t>{.class8LhType}</t>
  </si>
  <si>
    <t>{.class8Analysis}</t>
  </si>
  <si>
    <t>{.class8Dot}</t>
  </si>
  <si>
    <t>{.cxMachineCode}</t>
  </si>
  <si>
    <t>{.totalDailyPlanQty}</t>
  </si>
  <si>
    <t>{.todayNightFinishQty}</t>
  </si>
  <si>
    <t>{.remark}</t>
  </si>
  <si>
    <t>{seq}</t>
  </si>
  <si>
    <t>{planDate}</t>
  </si>
  <si>
    <t>{classIndex}</t>
  </si>
  <si>
    <t>{lhMachineCode}</t>
  </si>
  <si>
    <t>{leftRightMould}</t>
  </si>
  <si>
    <t>{beforeMaterialCode}</t>
  </si>
  <si>
    <t>{beforeMaterialDesc}</t>
  </si>
  <si>
    <t>{afterMaterialCode}</t>
  </si>
  <si>
    <t>{afterMaterialDesc}</t>
  </si>
  <si>
    <t>{afterMaterialType}</t>
  </si>
  <si>
    <t>{changeType}</t>
  </si>
  <si>
    <t>{isDryIceClean}</t>
  </si>
  <si>
    <t>{isSandblastingClean}</t>
  </si>
  <si>
    <t>{isReplaceBlock}</t>
  </si>
  <si>
    <t>{mouldCode}</t>
  </si>
  <si>
    <t>{remark}</t>
  </si>
  <si>
    <t>{title}</t>
  </si>
  <si>
    <t xml:space="preserve">序号
</t>
  </si>
  <si>
    <t xml:space="preserve">计划日期
</t>
  </si>
  <si>
    <t xml:space="preserve">班次
</t>
  </si>
  <si>
    <t xml:space="preserve">机台
</t>
  </si>
  <si>
    <t xml:space="preserve">左右模
</t>
  </si>
  <si>
    <t xml:space="preserve">当前物料
</t>
  </si>
  <si>
    <t xml:space="preserve">计划物料 
</t>
  </si>
  <si>
    <t>示方类型</t>
  </si>
  <si>
    <t>按时间下机</t>
  </si>
  <si>
    <t>干冰清洗</t>
  </si>
  <si>
    <t>喷砂清洗</t>
  </si>
  <si>
    <t>只换活字块</t>
  </si>
  <si>
    <t>模具号</t>
  </si>
  <si>
    <t>TT</t>
  </si>
  <si>
    <t>Ngày tháng</t>
  </si>
  <si>
    <t xml:space="preserve">Ca thay </t>
  </si>
  <si>
    <t>Trái phải của khuôn</t>
  </si>
  <si>
    <t>Mã liệu kế hoạch  đang lưu hóa (trước khi thay)</t>
  </si>
  <si>
    <t>Mô tả vật liệu (trước khi thay)</t>
  </si>
  <si>
    <t>Mã liệu kế hoạch  (sau khi thay)</t>
  </si>
  <si>
    <t>Mô tả vật liệu (sau khi thay)</t>
  </si>
  <si>
    <t>Loại phương thức</t>
  </si>
  <si>
    <t>Xuống máy theo thời gian</t>
  </si>
  <si>
    <t xml:space="preserve">Vệ sinh đá </t>
  </si>
  <si>
    <t>Vệ sinh cát （VSC）</t>
  </si>
  <si>
    <t>Chỉ thay lắc</t>
  </si>
  <si>
    <t>Mã số khuôn （MSK）</t>
  </si>
  <si>
    <t>{.seq}</t>
  </si>
  <si>
    <t>{.planDate}</t>
  </si>
  <si>
    <t>{.classIndex}</t>
  </si>
  <si>
    <t>{.leftRightMould}</t>
  </si>
  <si>
    <t>{.beforeMaterialCode}</t>
  </si>
  <si>
    <t>{.beforeMaterialDesc}</t>
  </si>
  <si>
    <t>{.afterMaterialCode}</t>
  </si>
  <si>
    <t>{.afterMaterialDesc}</t>
  </si>
  <si>
    <t>{.afterMaterialType}</t>
  </si>
  <si>
    <t>{.endType}</t>
  </si>
  <si>
    <t>{.isDryIceClean}</t>
  </si>
  <si>
    <t>{.isSandblastingClean}</t>
  </si>
  <si>
    <t>{.isReplaceBlock}</t>
  </si>
  <si>
    <t>{.mouldCode}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</si>
</sst>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_-* #,##0.00_-;\-* #,##0.00_-;_-* &quot;-&quot;??_-;_-@_-"/>
    <numFmt numFmtId="177" formatCode="m/d;@"/>
    <numFmt numFmtId="178" formatCode="_-[$$-409]* #,##0.00_ ;_-[$$-409]* \-#,##0.00\ ;_-[$$-409]* &quot;-&quot;??_ ;_-@_ "/>
    <numFmt numFmtId="179" formatCode="[$-409]m/d/yy\ h:mm\ AM/PM;@"/>
    <numFmt numFmtId="180" formatCode="yyyy/m/d;@"/>
    <numFmt numFmtId="181" formatCode="[$-10804]0;\(0\)"/>
  </numFmts>
  <fonts count="23" x14ac:knownFonts="1">
    <font>
      <sz val="12"/>
      <name val="宋体"/>
      <charset val="134"/>
    </font>
    <font>
      <sz val="9"/>
      <name val="等线"/>
      <family val="3"/>
      <charset val="134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9"/>
      <color theme="0"/>
      <name val="等线"/>
      <family val="3"/>
      <charset val="134"/>
    </font>
    <font>
      <sz val="9"/>
      <color theme="1"/>
      <name val="Arial"/>
      <family val="2"/>
    </font>
    <font>
      <sz val="9"/>
      <color theme="1"/>
      <name val="等线"/>
      <family val="3"/>
      <charset val="134"/>
    </font>
    <font>
      <sz val="10"/>
      <color theme="1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b/>
      <sz val="9"/>
      <color theme="1"/>
      <name val="等线"/>
      <family val="3"/>
      <charset val="134"/>
    </font>
    <font>
      <b/>
      <sz val="9"/>
      <color theme="1"/>
      <name val="Arial"/>
      <family val="2"/>
    </font>
    <font>
      <b/>
      <sz val="9"/>
      <name val="等线"/>
      <family val="3"/>
      <charset val="134"/>
    </font>
    <font>
      <sz val="9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color rgb="FF000000"/>
      <name val="等线"/>
      <family val="3"/>
      <charset val="134"/>
    </font>
    <font>
      <sz val="10"/>
      <color theme="1"/>
      <name val="等线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176" fontId="21" fillId="0" borderId="0"/>
    <xf numFmtId="0" fontId="15" fillId="0" borderId="0">
      <alignment vertical="center"/>
    </xf>
    <xf numFmtId="0" fontId="16" fillId="0" borderId="0"/>
    <xf numFmtId="177" fontId="14" fillId="0" borderId="0"/>
    <xf numFmtId="0" fontId="17" fillId="0" borderId="0"/>
    <xf numFmtId="0" fontId="14" fillId="0" borderId="0"/>
    <xf numFmtId="178" fontId="14" fillId="0" borderId="0"/>
    <xf numFmtId="9" fontId="14" fillId="0" borderId="0">
      <alignment vertical="center"/>
    </xf>
    <xf numFmtId="0" fontId="21" fillId="0" borderId="0">
      <alignment vertical="center"/>
    </xf>
    <xf numFmtId="0" fontId="21" fillId="0" borderId="0"/>
    <xf numFmtId="176" fontId="18" fillId="0" borderId="0">
      <alignment vertical="center"/>
    </xf>
    <xf numFmtId="43" fontId="18" fillId="0" borderId="0">
      <alignment vertical="center"/>
    </xf>
  </cellStyleXfs>
  <cellXfs count="57">
    <xf numFmtId="0" fontId="0" fillId="0" borderId="0" xfId="0"/>
    <xf numFmtId="179" fontId="1" fillId="0" borderId="0" xfId="10" applyNumberFormat="1" applyFont="1" applyAlignment="1">
      <alignment horizontal="center" vertical="top"/>
    </xf>
    <xf numFmtId="0" fontId="1" fillId="0" borderId="0" xfId="10" applyFont="1" applyAlignment="1">
      <alignment horizontal="center" vertical="center"/>
    </xf>
    <xf numFmtId="14" fontId="1" fillId="0" borderId="0" xfId="10" applyNumberFormat="1" applyFont="1" applyAlignment="1">
      <alignment horizontal="center" vertical="center"/>
    </xf>
    <xf numFmtId="179" fontId="1" fillId="0" borderId="0" xfId="10" applyNumberFormat="1" applyFont="1" applyAlignment="1">
      <alignment horizontal="center" vertical="center"/>
    </xf>
    <xf numFmtId="179" fontId="1" fillId="0" borderId="0" xfId="10" applyNumberFormat="1" applyFont="1" applyAlignment="1">
      <alignment horizontal="left" vertical="center"/>
    </xf>
    <xf numFmtId="0" fontId="1" fillId="0" borderId="1" xfId="10" applyFont="1" applyBorder="1" applyAlignment="1">
      <alignment horizontal="center" vertical="center"/>
    </xf>
    <xf numFmtId="179" fontId="2" fillId="0" borderId="1" xfId="10" applyNumberFormat="1" applyFont="1" applyBorder="1" applyAlignment="1">
      <alignment vertical="center" wrapText="1"/>
    </xf>
    <xf numFmtId="179" fontId="3" fillId="0" borderId="1" xfId="10" applyNumberFormat="1" applyFont="1" applyBorder="1" applyAlignment="1">
      <alignment vertical="center"/>
    </xf>
    <xf numFmtId="179" fontId="1" fillId="0" borderId="2" xfId="10" applyNumberFormat="1" applyFont="1" applyBorder="1" applyAlignment="1">
      <alignment horizontal="center" vertical="center"/>
    </xf>
    <xf numFmtId="179" fontId="1" fillId="0" borderId="3" xfId="10" applyNumberFormat="1" applyFont="1" applyBorder="1" applyAlignment="1">
      <alignment horizontal="center" vertical="center"/>
    </xf>
    <xf numFmtId="0" fontId="4" fillId="2" borderId="4" xfId="10" applyFont="1" applyFill="1" applyBorder="1" applyAlignment="1">
      <alignment horizontal="center" vertical="top" wrapText="1"/>
    </xf>
    <xf numFmtId="0" fontId="4" fillId="2" borderId="5" xfId="10" applyFont="1" applyFill="1" applyBorder="1" applyAlignment="1">
      <alignment horizontal="center" vertical="top" wrapText="1"/>
    </xf>
    <xf numFmtId="0" fontId="1" fillId="0" borderId="1" xfId="10" applyFont="1" applyBorder="1" applyAlignment="1">
      <alignment horizontal="center" vertical="center" wrapText="1"/>
    </xf>
    <xf numFmtId="14" fontId="1" fillId="0" borderId="1" xfId="10" applyNumberFormat="1" applyFont="1" applyBorder="1" applyAlignment="1">
      <alignment horizontal="center" vertical="center" wrapText="1"/>
    </xf>
    <xf numFmtId="180" fontId="1" fillId="0" borderId="1" xfId="10" applyNumberFormat="1" applyFont="1" applyBorder="1" applyAlignment="1">
      <alignment horizontal="center" vertical="center" wrapText="1"/>
    </xf>
    <xf numFmtId="0" fontId="1" fillId="0" borderId="1" xfId="1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8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10" fillId="0" borderId="0" xfId="0" applyNumberFormat="1" applyFont="1" applyAlignment="1">
      <alignment horizontal="center" vertical="center" wrapText="1"/>
    </xf>
    <xf numFmtId="181" fontId="5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81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1" fillId="0" borderId="1" xfId="1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0" fillId="0" borderId="6" xfId="0" applyBorder="1"/>
    <xf numFmtId="0" fontId="4" fillId="3" borderId="1" xfId="0" quotePrefix="1" applyFont="1" applyFill="1" applyBorder="1" applyAlignment="1">
      <alignment horizontal="center" vertical="top" wrapText="1"/>
    </xf>
    <xf numFmtId="0" fontId="0" fillId="0" borderId="7" xfId="0" applyBorder="1"/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center"/>
    </xf>
  </cellXfs>
  <cellStyles count="13">
    <cellStyle name="Comma 2" xfId="1" xr:uid="{00000000-0005-0000-0000-000031000000}"/>
    <cellStyle name="Excel Built-in Normal" xfId="2" xr:uid="{00000000-0005-0000-0000-000032000000}"/>
    <cellStyle name="Normal 10" xfId="3" xr:uid="{00000000-0005-0000-0000-000033000000}"/>
    <cellStyle name="Normal 12 3" xfId="4" xr:uid="{00000000-0005-0000-0000-000034000000}"/>
    <cellStyle name="Normal 2 2" xfId="5" xr:uid="{00000000-0005-0000-0000-000035000000}"/>
    <cellStyle name="Normal 20 3" xfId="6" xr:uid="{00000000-0005-0000-0000-000036000000}"/>
    <cellStyle name="Normal 91" xfId="7" xr:uid="{00000000-0005-0000-0000-000037000000}"/>
    <cellStyle name="Percent 2" xfId="8" xr:uid="{00000000-0005-0000-0000-000038000000}"/>
    <cellStyle name="常规" xfId="0" builtinId="0"/>
    <cellStyle name="常规 2" xfId="9" xr:uid="{00000000-0005-0000-0000-000039000000}"/>
    <cellStyle name="常规 2 5" xfId="10" xr:uid="{00000000-0005-0000-0000-00003A000000}"/>
    <cellStyle name="千位分隔 3" xfId="11" xr:uid="{00000000-0005-0000-0000-00003B000000}"/>
    <cellStyle name="千位分隔 3 3" xfId="12" xr:uid="{00000000-0005-0000-0000-00003C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61911</xdr:colOff>
      <xdr:row>0</xdr:row>
      <xdr:rowOff>0</xdr:rowOff>
    </xdr:from>
    <xdr:to>
      <xdr:col>3</xdr:col>
      <xdr:colOff>104775</xdr:colOff>
      <xdr:row>1</xdr:row>
      <xdr:rowOff>475426</xdr:rowOff>
    </xdr:to>
    <xdr:pic>
      <xdr:nvPicPr>
        <xdr:cNvPr id="2" name="图片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070" y="0"/>
          <a:ext cx="900430" cy="47498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51767</xdr:colOff>
      <xdr:row>1</xdr:row>
      <xdr:rowOff>20706</xdr:rowOff>
    </xdr:from>
    <xdr:to>
      <xdr:col>2</xdr:col>
      <xdr:colOff>279538</xdr:colOff>
      <xdr:row>1</xdr:row>
      <xdr:rowOff>407495</xdr:rowOff>
    </xdr:to>
    <xdr:pic>
      <xdr:nvPicPr>
        <xdr:cNvPr id="2" name="图片 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1435" y="20320"/>
          <a:ext cx="1132840" cy="38671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D47"/>
  <sheetViews>
    <sheetView tabSelected="1" topLeftCell="A2" zoomScale="70" zoomScaleNormal="70" workbookViewId="0">
      <pane xSplit="14" ySplit="4" topLeftCell="O6" activePane="bottomRight" state="frozen"/>
      <selection pane="topRight"/>
      <selection pane="bottomLeft"/>
      <selection pane="bottomRight" activeCell="J18" sqref="J18"/>
    </sheetView>
  </sheetViews>
  <sheetFormatPr defaultColWidth="8.75" defaultRowHeight="14.25" x14ac:dyDescent="0.15"/>
  <cols>
    <col min="1" max="1" width="4.875" customWidth="1"/>
    <col min="2" max="4" width="5.625" customWidth="1"/>
    <col min="5" max="5" width="6.5" customWidth="1"/>
    <col min="6" max="6" width="9.625" customWidth="1"/>
    <col min="7" max="7" width="37.5" customWidth="1"/>
    <col min="8" max="8" width="18" customWidth="1"/>
    <col min="9" max="9" width="32.25" customWidth="1"/>
    <col min="10" max="10" width="17.125" customWidth="1"/>
    <col min="11" max="12" width="5.625" customWidth="1"/>
    <col min="13" max="13" width="6.125" customWidth="1"/>
    <col min="14" max="14" width="5.625" customWidth="1"/>
    <col min="15" max="15" width="3.125" customWidth="1"/>
    <col min="16" max="22" width="5.125" customWidth="1"/>
    <col min="23" max="23" width="3.125" customWidth="1"/>
    <col min="24" max="30" width="5.125" customWidth="1"/>
    <col min="31" max="31" width="3.125" customWidth="1"/>
    <col min="32" max="38" width="5.125" customWidth="1"/>
    <col min="39" max="39" width="3.125" customWidth="1"/>
    <col min="40" max="46" width="5.125" customWidth="1"/>
    <col min="47" max="47" width="3.125" customWidth="1"/>
    <col min="48" max="54" width="5.125" customWidth="1"/>
    <col min="55" max="55" width="3.125" customWidth="1"/>
    <col min="56" max="62" width="5.125" customWidth="1"/>
    <col min="63" max="63" width="3.125" customWidth="1"/>
    <col min="64" max="70" width="5.125" customWidth="1"/>
    <col min="71" max="71" width="3.125" customWidth="1"/>
    <col min="72" max="78" width="5.125" customWidth="1"/>
    <col min="79" max="79" width="9.625" customWidth="1"/>
    <col min="80" max="80" width="7.625" customWidth="1"/>
    <col min="81" max="81" width="9.625" customWidth="1"/>
    <col min="82" max="82" width="37.625" style="18" customWidth="1"/>
  </cols>
  <sheetData>
    <row r="1" spans="1:82" hidden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s="18" t="s">
        <v>81</v>
      </c>
    </row>
    <row r="2" spans="1:82" ht="37.5" customHeight="1" x14ac:dyDescent="0.2">
      <c r="B2" s="19"/>
      <c r="C2" s="19"/>
      <c r="D2" s="19"/>
      <c r="E2" s="47" t="s">
        <v>82</v>
      </c>
      <c r="F2" s="48"/>
      <c r="G2" s="48"/>
      <c r="H2" s="48"/>
      <c r="I2" s="48"/>
      <c r="J2" s="17"/>
      <c r="K2" s="20" t="s">
        <v>83</v>
      </c>
      <c r="L2" s="17"/>
      <c r="M2" s="17"/>
      <c r="N2" s="17"/>
      <c r="O2" s="19"/>
      <c r="P2" s="21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21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21"/>
      <c r="CD2" s="22"/>
    </row>
    <row r="3" spans="1:82" ht="16.899999999999999" customHeight="1" x14ac:dyDescent="0.15">
      <c r="B3" s="23">
        <f>SUM(B6:B108139)</f>
        <v>0</v>
      </c>
      <c r="C3" s="24"/>
      <c r="D3" s="23">
        <f>SUM(D6:D108139)</f>
        <v>0</v>
      </c>
      <c r="E3" s="23"/>
      <c r="F3" s="23"/>
      <c r="G3" s="23"/>
      <c r="H3" s="23"/>
      <c r="I3" s="23"/>
      <c r="J3" s="23"/>
      <c r="K3" s="25"/>
      <c r="L3" s="26" t="s">
        <v>84</v>
      </c>
      <c r="M3" s="27"/>
      <c r="N3" s="27"/>
      <c r="O3" s="25"/>
      <c r="P3" s="25">
        <f>SUM(P6:P108139)</f>
        <v>0</v>
      </c>
      <c r="Q3" s="25"/>
      <c r="R3" s="25"/>
      <c r="S3" s="23"/>
      <c r="T3" s="23"/>
      <c r="U3" s="23"/>
      <c r="V3" s="23"/>
      <c r="W3" s="28"/>
      <c r="X3" s="23">
        <f>SUM(X6:X108139)</f>
        <v>0</v>
      </c>
      <c r="Y3" s="23"/>
      <c r="Z3" s="23"/>
      <c r="AA3" s="23"/>
      <c r="AB3" s="28"/>
      <c r="AC3" s="23"/>
      <c r="AD3" s="23"/>
      <c r="AE3" s="23"/>
      <c r="AF3" s="23">
        <f>SUM(AF6:AF108139)</f>
        <v>0</v>
      </c>
      <c r="AG3" s="28"/>
      <c r="AH3" s="23"/>
      <c r="AI3" s="23"/>
      <c r="AJ3" s="23"/>
      <c r="AK3" s="23"/>
      <c r="AL3" s="28"/>
      <c r="AM3" s="23"/>
      <c r="AN3" s="23">
        <f>SUM(AN6:AN108139)</f>
        <v>0</v>
      </c>
      <c r="AO3" s="23"/>
      <c r="AP3" s="23"/>
      <c r="AQ3" s="28"/>
      <c r="AR3" s="23"/>
      <c r="AS3" s="23"/>
      <c r="AT3" s="23"/>
      <c r="AU3" s="23"/>
      <c r="AV3" s="28">
        <f>SUM(AV6:AV108139)</f>
        <v>0</v>
      </c>
      <c r="AW3" s="23"/>
      <c r="AX3" s="23"/>
      <c r="AY3" s="23"/>
      <c r="AZ3" s="23"/>
      <c r="BA3" s="28"/>
      <c r="BB3" s="23"/>
      <c r="BC3" s="23"/>
      <c r="BD3" s="23">
        <f>SUM(BD6:BD108139)</f>
        <v>0</v>
      </c>
      <c r="BE3" s="23"/>
      <c r="BF3" s="28"/>
      <c r="BG3" s="25"/>
      <c r="BH3" s="25"/>
      <c r="BI3" s="25"/>
      <c r="BJ3" s="24"/>
      <c r="BK3" s="29"/>
      <c r="BL3" s="23">
        <f>SUM(BL6:BL108139)</f>
        <v>0</v>
      </c>
      <c r="BM3" s="24"/>
      <c r="BN3" s="24"/>
      <c r="BO3" s="24"/>
      <c r="BP3" s="24"/>
      <c r="BQ3" s="24"/>
      <c r="BR3" s="24"/>
      <c r="BS3" s="24"/>
      <c r="BT3" s="23">
        <f>SUM(BT6:BT108139)</f>
        <v>0</v>
      </c>
      <c r="BU3" s="24"/>
      <c r="BV3" s="24"/>
      <c r="BW3" s="24"/>
      <c r="BX3" s="24"/>
      <c r="BY3" s="24"/>
      <c r="BZ3" s="24"/>
      <c r="CA3" s="30"/>
      <c r="CB3" s="24"/>
      <c r="CC3" s="24"/>
      <c r="CD3" s="31"/>
    </row>
    <row r="4" spans="1:82" ht="36" customHeight="1" x14ac:dyDescent="0.15">
      <c r="B4" s="49" t="s">
        <v>85</v>
      </c>
      <c r="C4" s="50"/>
      <c r="D4" s="33" t="s">
        <v>86</v>
      </c>
      <c r="E4" s="33" t="s">
        <v>87</v>
      </c>
      <c r="F4" s="33" t="s">
        <v>88</v>
      </c>
      <c r="G4" s="33" t="s">
        <v>89</v>
      </c>
      <c r="H4" s="33" t="s">
        <v>90</v>
      </c>
      <c r="I4" s="33" t="s">
        <v>91</v>
      </c>
      <c r="J4" s="33" t="s">
        <v>92</v>
      </c>
      <c r="K4" s="33" t="s">
        <v>93</v>
      </c>
      <c r="L4" s="33" t="s">
        <v>94</v>
      </c>
      <c r="M4" s="33" t="s">
        <v>95</v>
      </c>
      <c r="N4" s="33" t="s">
        <v>96</v>
      </c>
      <c r="O4" s="51" t="s">
        <v>97</v>
      </c>
      <c r="P4" s="52"/>
      <c r="Q4" s="52"/>
      <c r="R4" s="52"/>
      <c r="S4" s="52"/>
      <c r="T4" s="52"/>
      <c r="U4" s="52"/>
      <c r="V4" s="50"/>
      <c r="W4" s="51" t="s">
        <v>98</v>
      </c>
      <c r="X4" s="52"/>
      <c r="Y4" s="52"/>
      <c r="Z4" s="52"/>
      <c r="AA4" s="52"/>
      <c r="AB4" s="52"/>
      <c r="AC4" s="52"/>
      <c r="AD4" s="50"/>
      <c r="AE4" s="53" t="s">
        <v>99</v>
      </c>
      <c r="AF4" s="52"/>
      <c r="AG4" s="52"/>
      <c r="AH4" s="52"/>
      <c r="AI4" s="52"/>
      <c r="AJ4" s="52"/>
      <c r="AK4" s="52"/>
      <c r="AL4" s="50"/>
      <c r="AM4" s="53" t="s">
        <v>100</v>
      </c>
      <c r="AN4" s="52"/>
      <c r="AO4" s="52"/>
      <c r="AP4" s="52"/>
      <c r="AQ4" s="52"/>
      <c r="AR4" s="52"/>
      <c r="AS4" s="52"/>
      <c r="AT4" s="50"/>
      <c r="AU4" s="53" t="s">
        <v>101</v>
      </c>
      <c r="AV4" s="52"/>
      <c r="AW4" s="52"/>
      <c r="AX4" s="52"/>
      <c r="AY4" s="52"/>
      <c r="AZ4" s="52"/>
      <c r="BA4" s="52"/>
      <c r="BB4" s="50"/>
      <c r="BC4" s="54" t="s">
        <v>102</v>
      </c>
      <c r="BD4" s="52"/>
      <c r="BE4" s="52"/>
      <c r="BF4" s="52"/>
      <c r="BG4" s="52"/>
      <c r="BH4" s="52"/>
      <c r="BI4" s="52"/>
      <c r="BJ4" s="50"/>
      <c r="BK4" s="54" t="s">
        <v>103</v>
      </c>
      <c r="BL4" s="52"/>
      <c r="BM4" s="52"/>
      <c r="BN4" s="52"/>
      <c r="BO4" s="52"/>
      <c r="BP4" s="52"/>
      <c r="BQ4" s="52"/>
      <c r="BR4" s="50"/>
      <c r="BS4" s="54" t="s">
        <v>104</v>
      </c>
      <c r="BT4" s="52"/>
      <c r="BU4" s="52"/>
      <c r="BV4" s="52"/>
      <c r="BW4" s="52"/>
      <c r="BX4" s="52"/>
      <c r="BY4" s="52"/>
      <c r="BZ4" s="50"/>
      <c r="CA4" s="33" t="s">
        <v>105</v>
      </c>
      <c r="CB4" s="33" t="s">
        <v>106</v>
      </c>
      <c r="CC4" s="33" t="s">
        <v>107</v>
      </c>
      <c r="CD4" s="33" t="s">
        <v>108</v>
      </c>
    </row>
    <row r="5" spans="1:82" ht="48" customHeight="1" x14ac:dyDescent="0.15">
      <c r="B5" s="32" t="s">
        <v>109</v>
      </c>
      <c r="C5" s="32" t="s">
        <v>110</v>
      </c>
      <c r="D5" s="35" t="s">
        <v>111</v>
      </c>
      <c r="E5" s="35" t="s">
        <v>112</v>
      </c>
      <c r="F5" s="35" t="s">
        <v>113</v>
      </c>
      <c r="G5" s="35" t="s">
        <v>114</v>
      </c>
      <c r="H5" s="35" t="s">
        <v>115</v>
      </c>
      <c r="I5" s="35" t="s">
        <v>116</v>
      </c>
      <c r="J5" s="35" t="s">
        <v>117</v>
      </c>
      <c r="K5" s="35" t="s">
        <v>118</v>
      </c>
      <c r="L5" s="35" t="s">
        <v>119</v>
      </c>
      <c r="M5" s="35" t="s">
        <v>120</v>
      </c>
      <c r="N5" s="35" t="s">
        <v>121</v>
      </c>
      <c r="O5" s="34" t="s">
        <v>122</v>
      </c>
      <c r="P5" s="34" t="s">
        <v>123</v>
      </c>
      <c r="Q5" s="34" t="s">
        <v>110</v>
      </c>
      <c r="R5" s="34" t="s">
        <v>124</v>
      </c>
      <c r="S5" s="34" t="s">
        <v>125</v>
      </c>
      <c r="T5" s="34" t="s">
        <v>126</v>
      </c>
      <c r="U5" s="34" t="s">
        <v>127</v>
      </c>
      <c r="V5" s="34" t="s">
        <v>128</v>
      </c>
      <c r="W5" s="34" t="s">
        <v>122</v>
      </c>
      <c r="X5" s="34" t="s">
        <v>123</v>
      </c>
      <c r="Y5" s="34" t="s">
        <v>110</v>
      </c>
      <c r="Z5" s="34" t="s">
        <v>124</v>
      </c>
      <c r="AA5" s="34" t="s">
        <v>125</v>
      </c>
      <c r="AB5" s="34" t="s">
        <v>126</v>
      </c>
      <c r="AC5" s="34" t="s">
        <v>127</v>
      </c>
      <c r="AD5" s="34" t="s">
        <v>128</v>
      </c>
      <c r="AE5" s="36" t="s">
        <v>122</v>
      </c>
      <c r="AF5" s="36" t="s">
        <v>123</v>
      </c>
      <c r="AG5" s="36" t="s">
        <v>110</v>
      </c>
      <c r="AH5" s="36" t="s">
        <v>124</v>
      </c>
      <c r="AI5" s="36" t="s">
        <v>125</v>
      </c>
      <c r="AJ5" s="36" t="s">
        <v>126</v>
      </c>
      <c r="AK5" s="36" t="s">
        <v>127</v>
      </c>
      <c r="AL5" s="36" t="s">
        <v>128</v>
      </c>
      <c r="AM5" s="36" t="s">
        <v>122</v>
      </c>
      <c r="AN5" s="36" t="s">
        <v>123</v>
      </c>
      <c r="AO5" s="36" t="s">
        <v>110</v>
      </c>
      <c r="AP5" s="36" t="s">
        <v>124</v>
      </c>
      <c r="AQ5" s="36" t="s">
        <v>125</v>
      </c>
      <c r="AR5" s="36" t="s">
        <v>126</v>
      </c>
      <c r="AS5" s="36" t="s">
        <v>127</v>
      </c>
      <c r="AT5" s="36" t="s">
        <v>128</v>
      </c>
      <c r="AU5" s="36" t="s">
        <v>122</v>
      </c>
      <c r="AV5" s="36" t="s">
        <v>123</v>
      </c>
      <c r="AW5" s="36" t="s">
        <v>110</v>
      </c>
      <c r="AX5" s="36" t="s">
        <v>124</v>
      </c>
      <c r="AY5" s="36" t="s">
        <v>125</v>
      </c>
      <c r="AZ5" s="36" t="s">
        <v>126</v>
      </c>
      <c r="BA5" s="36" t="s">
        <v>127</v>
      </c>
      <c r="BB5" s="36" t="s">
        <v>128</v>
      </c>
      <c r="BC5" s="37" t="s">
        <v>122</v>
      </c>
      <c r="BD5" s="37" t="s">
        <v>123</v>
      </c>
      <c r="BE5" s="37" t="s">
        <v>110</v>
      </c>
      <c r="BF5" s="37" t="s">
        <v>124</v>
      </c>
      <c r="BG5" s="37" t="s">
        <v>125</v>
      </c>
      <c r="BH5" s="37" t="s">
        <v>126</v>
      </c>
      <c r="BI5" s="37" t="s">
        <v>127</v>
      </c>
      <c r="BJ5" s="37" t="s">
        <v>128</v>
      </c>
      <c r="BK5" s="37" t="s">
        <v>122</v>
      </c>
      <c r="BL5" s="37" t="s">
        <v>123</v>
      </c>
      <c r="BM5" s="37" t="s">
        <v>110</v>
      </c>
      <c r="BN5" s="37" t="s">
        <v>124</v>
      </c>
      <c r="BO5" s="37" t="s">
        <v>125</v>
      </c>
      <c r="BP5" s="37" t="s">
        <v>126</v>
      </c>
      <c r="BQ5" s="37" t="s">
        <v>127</v>
      </c>
      <c r="BR5" s="37" t="s">
        <v>128</v>
      </c>
      <c r="BS5" s="37" t="s">
        <v>122</v>
      </c>
      <c r="BT5" s="37" t="s">
        <v>123</v>
      </c>
      <c r="BU5" s="37" t="s">
        <v>110</v>
      </c>
      <c r="BV5" s="37" t="s">
        <v>124</v>
      </c>
      <c r="BW5" s="37" t="s">
        <v>125</v>
      </c>
      <c r="BX5" s="37" t="s">
        <v>126</v>
      </c>
      <c r="BY5" s="37" t="s">
        <v>127</v>
      </c>
      <c r="BZ5" s="37" t="s">
        <v>128</v>
      </c>
      <c r="CA5" s="35" t="s">
        <v>129</v>
      </c>
      <c r="CB5" s="35" t="s">
        <v>130</v>
      </c>
      <c r="CC5" s="35" t="s">
        <v>131</v>
      </c>
      <c r="CD5" s="35" t="s">
        <v>132</v>
      </c>
    </row>
    <row r="6" spans="1:82" s="17" customFormat="1" ht="60" x14ac:dyDescent="0.15">
      <c r="A6" s="38" t="s">
        <v>133</v>
      </c>
      <c r="B6" s="38" t="s">
        <v>134</v>
      </c>
      <c r="C6" s="38" t="s">
        <v>135</v>
      </c>
      <c r="D6" s="38" t="s">
        <v>136</v>
      </c>
      <c r="E6" s="38" t="s">
        <v>137</v>
      </c>
      <c r="F6" s="38" t="s">
        <v>138</v>
      </c>
      <c r="G6" s="56" t="s">
        <v>139</v>
      </c>
      <c r="H6" s="39" t="s">
        <v>140</v>
      </c>
      <c r="I6" s="56" t="s">
        <v>141</v>
      </c>
      <c r="J6" s="40" t="s">
        <v>142</v>
      </c>
      <c r="K6" s="38" t="s">
        <v>143</v>
      </c>
      <c r="L6" s="38" t="s">
        <v>144</v>
      </c>
      <c r="M6" s="41" t="s">
        <v>145</v>
      </c>
      <c r="N6" s="41" t="s">
        <v>146</v>
      </c>
      <c r="O6" s="38" t="s">
        <v>147</v>
      </c>
      <c r="P6" s="42" t="s">
        <v>148</v>
      </c>
      <c r="Q6" s="42" t="s">
        <v>149</v>
      </c>
      <c r="R6" s="42" t="s">
        <v>150</v>
      </c>
      <c r="S6" s="42" t="s">
        <v>151</v>
      </c>
      <c r="T6" s="42" t="s">
        <v>152</v>
      </c>
      <c r="U6" s="42" t="s">
        <v>153</v>
      </c>
      <c r="V6" s="42" t="s">
        <v>154</v>
      </c>
      <c r="W6" s="42" t="s">
        <v>155</v>
      </c>
      <c r="X6" s="43" t="s">
        <v>156</v>
      </c>
      <c r="Y6" s="42" t="s">
        <v>157</v>
      </c>
      <c r="Z6" s="42" t="s">
        <v>158</v>
      </c>
      <c r="AA6" s="42" t="s">
        <v>159</v>
      </c>
      <c r="AB6" s="42" t="s">
        <v>160</v>
      </c>
      <c r="AC6" s="43" t="s">
        <v>161</v>
      </c>
      <c r="AD6" s="42" t="s">
        <v>162</v>
      </c>
      <c r="AE6" s="42" t="s">
        <v>163</v>
      </c>
      <c r="AF6" s="42" t="s">
        <v>164</v>
      </c>
      <c r="AG6" s="42" t="s">
        <v>165</v>
      </c>
      <c r="AH6" s="43" t="s">
        <v>166</v>
      </c>
      <c r="AI6" s="42" t="s">
        <v>167</v>
      </c>
      <c r="AJ6" s="42" t="s">
        <v>168</v>
      </c>
      <c r="AK6" s="42" t="s">
        <v>169</v>
      </c>
      <c r="AL6" s="42" t="s">
        <v>170</v>
      </c>
      <c r="AM6" s="43" t="s">
        <v>171</v>
      </c>
      <c r="AN6" s="42" t="s">
        <v>172</v>
      </c>
      <c r="AO6" s="42" t="s">
        <v>173</v>
      </c>
      <c r="AP6" s="42" t="s">
        <v>174</v>
      </c>
      <c r="AQ6" s="42" t="s">
        <v>175</v>
      </c>
      <c r="AR6" s="43" t="s">
        <v>176</v>
      </c>
      <c r="AS6" s="42" t="s">
        <v>177</v>
      </c>
      <c r="AT6" s="42" t="s">
        <v>178</v>
      </c>
      <c r="AU6" s="42" t="s">
        <v>179</v>
      </c>
      <c r="AV6" s="42" t="s">
        <v>180</v>
      </c>
      <c r="AW6" s="43" t="s">
        <v>181</v>
      </c>
      <c r="AX6" s="42" t="s">
        <v>182</v>
      </c>
      <c r="AY6" s="42" t="s">
        <v>183</v>
      </c>
      <c r="AZ6" s="42" t="s">
        <v>184</v>
      </c>
      <c r="BA6" s="42" t="s">
        <v>185</v>
      </c>
      <c r="BB6" s="43" t="s">
        <v>186</v>
      </c>
      <c r="BC6" s="42" t="s">
        <v>187</v>
      </c>
      <c r="BD6" s="42" t="s">
        <v>188</v>
      </c>
      <c r="BE6" s="44" t="s">
        <v>189</v>
      </c>
      <c r="BF6" s="44" t="s">
        <v>190</v>
      </c>
      <c r="BG6" s="44" t="s">
        <v>191</v>
      </c>
      <c r="BH6" s="42" t="s">
        <v>192</v>
      </c>
      <c r="BI6" s="42" t="s">
        <v>193</v>
      </c>
      <c r="BJ6" s="43" t="s">
        <v>194</v>
      </c>
      <c r="BK6" s="41" t="s">
        <v>195</v>
      </c>
      <c r="BL6" s="38" t="s">
        <v>196</v>
      </c>
      <c r="BM6" s="45" t="s">
        <v>197</v>
      </c>
      <c r="BN6" s="45" t="s">
        <v>198</v>
      </c>
      <c r="BO6" s="45" t="s">
        <v>199</v>
      </c>
      <c r="BP6" s="45" t="s">
        <v>200</v>
      </c>
      <c r="BQ6" s="45" t="s">
        <v>201</v>
      </c>
      <c r="BR6" s="45" t="s">
        <v>202</v>
      </c>
      <c r="BS6" s="45" t="s">
        <v>203</v>
      </c>
      <c r="BT6" s="45" t="s">
        <v>204</v>
      </c>
      <c r="BU6" s="45" t="s">
        <v>205</v>
      </c>
      <c r="BV6" s="45" t="s">
        <v>206</v>
      </c>
      <c r="BW6" s="45" t="s">
        <v>207</v>
      </c>
      <c r="BX6" s="45" t="s">
        <v>208</v>
      </c>
      <c r="BY6" s="45" t="s">
        <v>209</v>
      </c>
      <c r="BZ6" s="45" t="s">
        <v>210</v>
      </c>
      <c r="CA6" s="45" t="s">
        <v>211</v>
      </c>
      <c r="CB6" s="45" t="s">
        <v>212</v>
      </c>
      <c r="CC6" s="45" t="s">
        <v>213</v>
      </c>
      <c r="CD6" s="45" t="s">
        <v>214</v>
      </c>
    </row>
    <row r="7" spans="1:82" x14ac:dyDescent="0.15">
      <c r="G7" s="55"/>
    </row>
    <row r="8" spans="1:82" x14ac:dyDescent="0.15">
      <c r="G8" s="55"/>
    </row>
    <row r="9" spans="1:82" x14ac:dyDescent="0.15">
      <c r="G9" s="55"/>
    </row>
    <row r="10" spans="1:82" x14ac:dyDescent="0.15">
      <c r="G10" s="55"/>
    </row>
    <row r="11" spans="1:82" x14ac:dyDescent="0.15">
      <c r="G11" s="55"/>
    </row>
    <row r="12" spans="1:82" x14ac:dyDescent="0.15">
      <c r="G12" s="55"/>
    </row>
    <row r="13" spans="1:82" x14ac:dyDescent="0.15">
      <c r="G13" s="55"/>
    </row>
    <row r="14" spans="1:82" x14ac:dyDescent="0.15">
      <c r="G14" s="55"/>
    </row>
    <row r="15" spans="1:82" x14ac:dyDescent="0.15">
      <c r="G15" s="55"/>
    </row>
    <row r="16" spans="1:82" x14ac:dyDescent="0.15">
      <c r="G16" s="55"/>
    </row>
    <row r="17" spans="7:7" x14ac:dyDescent="0.15">
      <c r="G17" s="55"/>
    </row>
    <row r="18" spans="7:7" x14ac:dyDescent="0.15">
      <c r="G18" s="55"/>
    </row>
    <row r="19" spans="7:7" x14ac:dyDescent="0.15">
      <c r="G19" s="55"/>
    </row>
    <row r="20" spans="7:7" x14ac:dyDescent="0.15">
      <c r="G20" s="55"/>
    </row>
    <row r="21" spans="7:7" x14ac:dyDescent="0.15">
      <c r="G21" s="55"/>
    </row>
    <row r="22" spans="7:7" x14ac:dyDescent="0.15">
      <c r="G22" s="55"/>
    </row>
    <row r="23" spans="7:7" x14ac:dyDescent="0.15">
      <c r="G23" s="55"/>
    </row>
    <row r="24" spans="7:7" x14ac:dyDescent="0.15">
      <c r="G24" s="55"/>
    </row>
    <row r="25" spans="7:7" x14ac:dyDescent="0.15">
      <c r="G25" s="55"/>
    </row>
    <row r="26" spans="7:7" x14ac:dyDescent="0.15">
      <c r="G26" s="55"/>
    </row>
    <row r="27" spans="7:7" x14ac:dyDescent="0.15">
      <c r="G27" s="55"/>
    </row>
    <row r="28" spans="7:7" x14ac:dyDescent="0.15">
      <c r="G28" s="55"/>
    </row>
    <row r="29" spans="7:7" x14ac:dyDescent="0.15">
      <c r="G29" s="55"/>
    </row>
    <row r="30" spans="7:7" x14ac:dyDescent="0.15">
      <c r="G30" s="55"/>
    </row>
    <row r="31" spans="7:7" x14ac:dyDescent="0.15">
      <c r="G31" s="55"/>
    </row>
    <row r="32" spans="7:7" x14ac:dyDescent="0.15">
      <c r="G32" s="55"/>
    </row>
    <row r="33" spans="7:7" x14ac:dyDescent="0.15">
      <c r="G33" s="55"/>
    </row>
    <row r="34" spans="7:7" x14ac:dyDescent="0.15">
      <c r="G34" s="55"/>
    </row>
    <row r="35" spans="7:7" x14ac:dyDescent="0.15">
      <c r="G35" s="55"/>
    </row>
    <row r="36" spans="7:7" x14ac:dyDescent="0.15">
      <c r="G36" s="55"/>
    </row>
    <row r="37" spans="7:7" x14ac:dyDescent="0.15">
      <c r="G37" s="55"/>
    </row>
    <row r="38" spans="7:7" x14ac:dyDescent="0.15">
      <c r="G38" s="55"/>
    </row>
    <row r="39" spans="7:7" x14ac:dyDescent="0.15">
      <c r="G39" s="55"/>
    </row>
    <row r="40" spans="7:7" x14ac:dyDescent="0.15">
      <c r="G40" s="55"/>
    </row>
    <row r="41" spans="7:7" x14ac:dyDescent="0.15">
      <c r="G41" s="55"/>
    </row>
    <row r="42" spans="7:7" x14ac:dyDescent="0.15">
      <c r="G42" s="55"/>
    </row>
    <row r="43" spans="7:7" x14ac:dyDescent="0.15">
      <c r="G43" s="55"/>
    </row>
    <row r="44" spans="7:7" x14ac:dyDescent="0.15">
      <c r="G44" s="55"/>
    </row>
    <row r="45" spans="7:7" x14ac:dyDescent="0.15">
      <c r="G45" s="55"/>
    </row>
    <row r="46" spans="7:7" x14ac:dyDescent="0.15">
      <c r="G46" s="55"/>
    </row>
    <row r="47" spans="7:7" x14ac:dyDescent="0.15">
      <c r="G47" s="55"/>
    </row>
  </sheetData>
  <mergeCells count="10">
    <mergeCell ref="AM4:AT4"/>
    <mergeCell ref="AU4:BB4"/>
    <mergeCell ref="BC4:BJ4"/>
    <mergeCell ref="BK4:BR4"/>
    <mergeCell ref="BS4:BZ4"/>
    <mergeCell ref="E2:I2"/>
    <mergeCell ref="B4:C4"/>
    <mergeCell ref="O4:V4"/>
    <mergeCell ref="W4:AD4"/>
    <mergeCell ref="AE4:AL4"/>
  </mergeCells>
  <phoneticPr fontId="22" type="noConversion"/>
  <conditionalFormatting sqref="G3:H3">
    <cfRule type="duplicateValues" dxfId="0" priority="1" stopIfTrue="1"/>
  </conditionalFormatting>
  <dataValidations count="1">
    <dataValidation type="list" allowBlank="1" showInputMessage="1" showErrorMessage="1" sqref="S5 AA5 AI5 AQ5 AY5 BG5 BO5 BW5" xr:uid="{00000000-0002-0000-0000-000000000000}">
      <formula1>"正常,首检,试验,收尾,量试"</formula1>
    </dataValidation>
  </dataValidations>
  <pageMargins left="0.75" right="0.75" top="1" bottom="1" header="0.5" footer="0.5"/>
  <pageSetup paperSize="9" orientation="portrait" horizontalDpi="1200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5"/>
  <sheetViews>
    <sheetView topLeftCell="A3" workbookViewId="0">
      <selection activeCell="A5" sqref="A5"/>
    </sheetView>
  </sheetViews>
  <sheetFormatPr defaultColWidth="8" defaultRowHeight="12" x14ac:dyDescent="0.15"/>
  <cols>
    <col min="1" max="1" width="4.5" style="2" customWidth="1"/>
    <col min="2" max="2" width="8.875" style="3" customWidth="1"/>
    <col min="3" max="4" width="5.625" style="4" customWidth="1"/>
    <col min="5" max="5" width="5.25" style="4" customWidth="1"/>
    <col min="6" max="6" width="10.25" style="2" customWidth="1"/>
    <col min="7" max="7" width="34.125" style="5" customWidth="1"/>
    <col min="8" max="8" width="10.25" style="2" customWidth="1"/>
    <col min="9" max="9" width="34.125" style="5" customWidth="1"/>
    <col min="10" max="10" width="8.75" style="5" customWidth="1"/>
    <col min="11" max="11" width="6.75" style="5" customWidth="1"/>
    <col min="12" max="14" width="6.75" style="4" customWidth="1"/>
    <col min="15" max="16" width="27.375" style="4" customWidth="1"/>
    <col min="17" max="17" width="8" style="4" customWidth="1"/>
    <col min="18" max="16384" width="8" style="4"/>
  </cols>
  <sheetData>
    <row r="1" spans="1:16" hidden="1" x14ac:dyDescent="0.15">
      <c r="A1" s="2" t="s">
        <v>215</v>
      </c>
      <c r="B1" s="3" t="s">
        <v>216</v>
      </c>
      <c r="C1" s="4" t="s">
        <v>217</v>
      </c>
      <c r="D1" s="4" t="s">
        <v>218</v>
      </c>
      <c r="E1" s="4" t="s">
        <v>219</v>
      </c>
      <c r="F1" s="2" t="s">
        <v>220</v>
      </c>
      <c r="G1" s="5" t="s">
        <v>221</v>
      </c>
      <c r="H1" s="2" t="s">
        <v>222</v>
      </c>
      <c r="I1" s="5" t="s">
        <v>223</v>
      </c>
      <c r="J1" s="5" t="s">
        <v>224</v>
      </c>
      <c r="K1" s="5" t="s">
        <v>225</v>
      </c>
      <c r="L1" s="4" t="s">
        <v>226</v>
      </c>
      <c r="M1" s="4" t="s">
        <v>227</v>
      </c>
      <c r="N1" s="4" t="s">
        <v>228</v>
      </c>
      <c r="O1" s="4" t="s">
        <v>229</v>
      </c>
      <c r="P1" s="4" t="s">
        <v>230</v>
      </c>
    </row>
    <row r="2" spans="1:16" ht="33.75" customHeight="1" x14ac:dyDescent="0.15">
      <c r="A2" s="6"/>
      <c r="B2" s="7"/>
      <c r="C2" s="7"/>
      <c r="D2" s="7"/>
      <c r="E2" s="7"/>
      <c r="F2" s="7"/>
      <c r="G2" s="8" t="s">
        <v>231</v>
      </c>
      <c r="H2" s="7"/>
      <c r="I2" s="7"/>
      <c r="J2" s="7"/>
      <c r="K2" s="7"/>
      <c r="L2" s="7"/>
      <c r="M2" s="7"/>
      <c r="N2" s="7"/>
      <c r="O2" s="9"/>
      <c r="P2" s="10"/>
    </row>
    <row r="3" spans="1:16" s="1" customFormat="1" ht="34.15" customHeight="1" x14ac:dyDescent="0.15">
      <c r="A3" s="11" t="s">
        <v>232</v>
      </c>
      <c r="B3" s="11" t="s">
        <v>233</v>
      </c>
      <c r="C3" s="11" t="s">
        <v>234</v>
      </c>
      <c r="D3" s="11" t="s">
        <v>235</v>
      </c>
      <c r="E3" s="11" t="s">
        <v>236</v>
      </c>
      <c r="F3" s="11" t="s">
        <v>237</v>
      </c>
      <c r="G3" s="11" t="s">
        <v>89</v>
      </c>
      <c r="H3" s="11" t="s">
        <v>238</v>
      </c>
      <c r="I3" s="11" t="s">
        <v>89</v>
      </c>
      <c r="J3" s="11" t="s">
        <v>239</v>
      </c>
      <c r="K3" s="11" t="s">
        <v>240</v>
      </c>
      <c r="L3" s="11" t="s">
        <v>241</v>
      </c>
      <c r="M3" s="11" t="s">
        <v>242</v>
      </c>
      <c r="N3" s="11" t="s">
        <v>243</v>
      </c>
      <c r="O3" s="11" t="s">
        <v>244</v>
      </c>
      <c r="P3" s="11" t="s">
        <v>108</v>
      </c>
    </row>
    <row r="4" spans="1:16" s="1" customFormat="1" ht="68.25" customHeight="1" x14ac:dyDescent="0.15">
      <c r="A4" s="12" t="s">
        <v>245</v>
      </c>
      <c r="B4" s="12" t="s">
        <v>246</v>
      </c>
      <c r="C4" s="12" t="s">
        <v>247</v>
      </c>
      <c r="D4" s="12" t="s">
        <v>112</v>
      </c>
      <c r="E4" s="12" t="s">
        <v>248</v>
      </c>
      <c r="F4" s="12" t="s">
        <v>249</v>
      </c>
      <c r="G4" s="12" t="s">
        <v>250</v>
      </c>
      <c r="H4" s="12" t="s">
        <v>251</v>
      </c>
      <c r="I4" s="12" t="s">
        <v>252</v>
      </c>
      <c r="J4" s="12" t="s">
        <v>253</v>
      </c>
      <c r="K4" s="12" t="s">
        <v>254</v>
      </c>
      <c r="L4" s="12" t="s">
        <v>255</v>
      </c>
      <c r="M4" s="12" t="s">
        <v>256</v>
      </c>
      <c r="N4" s="12" t="s">
        <v>257</v>
      </c>
      <c r="O4" s="12" t="s">
        <v>258</v>
      </c>
      <c r="P4" s="12" t="s">
        <v>132</v>
      </c>
    </row>
    <row r="5" spans="1:16" ht="11.45" customHeight="1" x14ac:dyDescent="0.15">
      <c r="A5" s="13" t="s">
        <v>259</v>
      </c>
      <c r="B5" s="14" t="s">
        <v>260</v>
      </c>
      <c r="C5" s="15" t="s">
        <v>261</v>
      </c>
      <c r="D5" s="13" t="s">
        <v>137</v>
      </c>
      <c r="E5" s="6" t="s">
        <v>262</v>
      </c>
      <c r="F5" s="6" t="s">
        <v>263</v>
      </c>
      <c r="G5" s="16" t="s">
        <v>264</v>
      </c>
      <c r="H5" s="13" t="s">
        <v>265</v>
      </c>
      <c r="I5" s="16" t="s">
        <v>266</v>
      </c>
      <c r="J5" s="46" t="s">
        <v>267</v>
      </c>
      <c r="K5" s="16" t="s">
        <v>268</v>
      </c>
      <c r="L5" s="6" t="s">
        <v>269</v>
      </c>
      <c r="M5" s="6" t="s">
        <v>270</v>
      </c>
      <c r="N5" s="6" t="s">
        <v>271</v>
      </c>
      <c r="O5" s="13" t="s">
        <v>272</v>
      </c>
      <c r="P5" s="13" t="s">
        <v>214</v>
      </c>
    </row>
  </sheetData>
  <autoFilter ref="A4:P5" xr:uid="{00000000-0009-0000-0000-000001000000}"/>
  <phoneticPr fontId="22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硫化日计划</vt:lpstr>
      <vt:lpstr>硫化换模计划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XUEH</cp:lastModifiedBy>
  <cp:lastPrinted>2025-03-10T09:52:00Z</cp:lastPrinted>
  <dcterms:created xsi:type="dcterms:W3CDTF">1996-12-17T01:32:00Z</dcterms:created>
  <dcterms:modified xsi:type="dcterms:W3CDTF">2026-10-12T06:09:50Z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d7253f9e-967a-40fd-bee2-dea5c16cae08</vt:lpwstr>
  </property>
  <property fmtid="{D5CDD505-2E9C-101B-9397-08002B2CF9AE}" pid="3" name="KSOProductBuildVer">
    <vt:lpwstr>2052-12.1.0.28505</vt:lpwstr>
  </property>
  <property fmtid="{D5CDD505-2E9C-101B-9397-08002B2CF9AE}" pid="4" name="ICV">
    <vt:lpwstr>A3012E52628F4C62928AD08FC7B16832_12</vt:lpwstr>
  </property>
  <property fmtid="{D5CDD505-2E9C-101B-9397-08002B2CF9AE}" pid="5" name="CalculationRule">
    <vt:i4>0</vt:i4>
  </property>
</Properties>
</file>