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showInkAnnotation="0"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E\CODES\JY_APS\JY_APS_CODE\jy_aps_admin\APS-Modules\aps-lh\src\main\resources\excelModel\"/>
    </mc:Choice>
  </mc:AlternateContent>
  <xr:revisionPtr revIDLastSave="0" documentId="13_ncr:1_{00B05FB6-1F48-433D-A272-595852576E15}" xr6:coauthVersionLast="36" xr6:coauthVersionMax="36" xr10:uidLastSave="{00000000-0000-0000-0000-000000000000}"/>
  <bookViews>
    <workbookView xWindow="32760" yWindow="32760" windowWidth="23040" windowHeight="8400" tabRatio="844" xr2:uid="{00000000-000D-0000-FFFF-FFFF00000000}"/>
  </bookViews>
  <sheets>
    <sheet name="硫化计划主表" sheetId="30" r:id="rId1"/>
  </sheets>
  <definedNames>
    <definedName name="_xlnm._FilterDatabase" localSheetId="0" hidden="1">硫化计划主表!$A$6:$CF$6</definedName>
    <definedName name="A">#REF!</definedName>
    <definedName name="_xlnm.Print_Area" localSheetId="0">硫化计划主表!$E$5:$CC$6</definedName>
  </definedNames>
  <calcPr calcId="191029" forceFullCalc="1"/>
</workbook>
</file>

<file path=xl/calcChain.xml><?xml version="1.0" encoding="utf-8"?>
<calcChain xmlns="http://schemas.openxmlformats.org/spreadsheetml/2006/main">
  <c r="CB7" i="30" l="1"/>
  <c r="AE3" i="30" s="1"/>
  <c r="CA7" i="30"/>
  <c r="BZ7" i="30"/>
  <c r="J7" i="30"/>
  <c r="BS3" i="30"/>
  <c r="BK3" i="30"/>
  <c r="BC3" i="30"/>
  <c r="AU3" i="30"/>
  <c r="AM3" i="30"/>
  <c r="W3" i="30"/>
  <c r="O3" i="30"/>
  <c r="A2" i="30"/>
  <c r="BZ3" i="30" l="1"/>
  <c r="CB3" i="30"/>
  <c r="A5" i="3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项田昊</author>
  </authors>
  <commentList>
    <comment ref="CC5" authorId="0" shapeId="0" xr:uid="{00000000-0006-0000-0000-000001000000}">
      <text>
        <r>
          <rPr>
            <b/>
            <sz val="9"/>
            <color indexed="81"/>
            <rFont val="宋体"/>
            <family val="3"/>
            <charset val="134"/>
          </rPr>
          <t>可编辑</t>
        </r>
      </text>
    </comment>
    <comment ref="CD5" authorId="0" shapeId="0" xr:uid="{00000000-0006-0000-0000-000002000000}">
      <text>
        <r>
          <rPr>
            <b/>
            <sz val="9"/>
            <color indexed="81"/>
            <rFont val="宋体"/>
            <family val="3"/>
            <charset val="134"/>
          </rPr>
          <t>多台的用“，”分开</t>
        </r>
      </text>
    </comment>
  </commentList>
</comments>
</file>

<file path=xl/sharedStrings.xml><?xml version="1.0" encoding="utf-8"?>
<sst xmlns="http://schemas.openxmlformats.org/spreadsheetml/2006/main" count="269" uniqueCount="197">
  <si>
    <t/>
  </si>
  <si>
    <t>。</t>
  </si>
  <si>
    <t>.</t>
  </si>
  <si>
    <t>计划
Kế hoạch</t>
  </si>
  <si>
    <t>实际
Thực tế</t>
  </si>
  <si>
    <t>合计
Tổng</t>
  </si>
  <si>
    <t>*顺序
Stt</t>
  </si>
  <si>
    <t>*计划
Kế hoạch</t>
  </si>
  <si>
    <t>类型
Loại hình</t>
  </si>
  <si>
    <t>左右模
Khuôn trái phải</t>
  </si>
  <si>
    <t>*备注
Chú ý</t>
  </si>
  <si>
    <t>*DOT
DOT</t>
  </si>
  <si>
    <t xml:space="preserve">硫化班产
</t>
    <phoneticPr fontId="32" type="noConversion"/>
  </si>
  <si>
    <t>Mã NC</t>
    <phoneticPr fontId="32" type="noConversion"/>
  </si>
  <si>
    <t xml:space="preserve">物料描述
</t>
    <phoneticPr fontId="32" type="noConversion"/>
  </si>
  <si>
    <t xml:space="preserve">胎胚描述
</t>
    <phoneticPr fontId="32" type="noConversion"/>
  </si>
  <si>
    <t>Máy</t>
    <phoneticPr fontId="32" type="noConversion"/>
  </si>
  <si>
    <t xml:space="preserve">总计
</t>
    <phoneticPr fontId="32" type="noConversion"/>
  </si>
  <si>
    <t>Phôi thành hình</t>
    <phoneticPr fontId="32" type="noConversion"/>
  </si>
  <si>
    <t>Quy cách lưu hóa</t>
    <phoneticPr fontId="32" type="noConversion"/>
  </si>
  <si>
    <t>硫化物料号</t>
    <phoneticPr fontId="32" type="noConversion"/>
  </si>
  <si>
    <t>*机台</t>
    <phoneticPr fontId="32" type="noConversion"/>
  </si>
  <si>
    <t>合计余量</t>
    <phoneticPr fontId="32" type="noConversion"/>
  </si>
  <si>
    <t>Số còn thiếu</t>
    <phoneticPr fontId="32" type="noConversion"/>
  </si>
  <si>
    <t>Phôi tồn</t>
    <phoneticPr fontId="32" type="noConversion"/>
  </si>
  <si>
    <r>
      <t>L</t>
    </r>
    <r>
      <rPr>
        <b/>
        <sz val="9"/>
        <color indexed="9"/>
        <rFont val="Arial"/>
        <family val="2"/>
      </rPr>
      <t>ư</t>
    </r>
    <r>
      <rPr>
        <b/>
        <sz val="9"/>
        <color indexed="9"/>
        <rFont val="等线"/>
        <family val="3"/>
        <charset val="134"/>
      </rPr>
      <t>u hóa trong ca</t>
    </r>
    <phoneticPr fontId="32" type="noConversion"/>
  </si>
  <si>
    <r>
      <t>*示方类型
Ph</t>
    </r>
    <r>
      <rPr>
        <b/>
        <sz val="9"/>
        <color indexed="9"/>
        <rFont val="Arial"/>
        <family val="2"/>
      </rPr>
      <t>ươ</t>
    </r>
    <r>
      <rPr>
        <b/>
        <sz val="9"/>
        <color indexed="9"/>
        <rFont val="等线"/>
        <family val="3"/>
        <charset val="134"/>
      </rPr>
      <t>ng thức</t>
    </r>
  </si>
  <si>
    <r>
      <t>T</t>
    </r>
    <r>
      <rPr>
        <b/>
        <sz val="9"/>
        <color indexed="9"/>
        <rFont val="Calibri"/>
        <family val="2"/>
      </rPr>
      <t>ổ</t>
    </r>
    <r>
      <rPr>
        <b/>
        <sz val="9"/>
        <color indexed="9"/>
        <rFont val="等线"/>
        <family val="3"/>
        <charset val="134"/>
      </rPr>
      <t>ng</t>
    </r>
    <phoneticPr fontId="32" type="noConversion"/>
  </si>
  <si>
    <t>Ghi chú</t>
    <phoneticPr fontId="32" type="noConversion"/>
  </si>
  <si>
    <t xml:space="preserve">备注
</t>
    <phoneticPr fontId="32" type="noConversion"/>
  </si>
  <si>
    <t xml:space="preserve">订单
</t>
    <phoneticPr fontId="32" type="noConversion"/>
  </si>
  <si>
    <r>
      <rPr>
        <b/>
        <sz val="9"/>
        <color indexed="9"/>
        <rFont val="Segoe UI"/>
        <family val="2"/>
        <charset val="238"/>
      </rPr>
      <t>Đơ</t>
    </r>
    <r>
      <rPr>
        <b/>
        <sz val="9"/>
        <color indexed="9"/>
        <rFont val="Calibri"/>
        <family val="2"/>
      </rPr>
      <t xml:space="preserve">n hàng </t>
    </r>
    <phoneticPr fontId="32" type="noConversion"/>
  </si>
  <si>
    <r>
      <t>S</t>
    </r>
    <r>
      <rPr>
        <b/>
        <sz val="9"/>
        <color indexed="9"/>
        <rFont val="Cambria"/>
        <family val="1"/>
      </rPr>
      <t>ả</t>
    </r>
    <r>
      <rPr>
        <b/>
        <sz val="9"/>
        <color indexed="9"/>
        <rFont val="等线"/>
        <family val="3"/>
        <charset val="134"/>
      </rPr>
      <t>n l</t>
    </r>
    <r>
      <rPr>
        <sz val="9"/>
        <color indexed="9"/>
        <rFont val="Arial"/>
        <family val="2"/>
      </rPr>
      <t>ư</t>
    </r>
    <r>
      <rPr>
        <sz val="9"/>
        <color indexed="9"/>
        <rFont val="Cambria"/>
        <family val="1"/>
      </rPr>
      <t>ợ</t>
    </r>
    <r>
      <rPr>
        <sz val="9"/>
        <color indexed="9"/>
        <rFont val="等线"/>
        <family val="3"/>
        <charset val="134"/>
      </rPr>
      <t>ng l</t>
    </r>
    <r>
      <rPr>
        <sz val="9"/>
        <color indexed="9"/>
        <rFont val="Arial"/>
        <family val="2"/>
      </rPr>
      <t>ư</t>
    </r>
    <r>
      <rPr>
        <sz val="9"/>
        <color indexed="9"/>
        <rFont val="等线"/>
        <family val="3"/>
        <charset val="134"/>
      </rPr>
      <t xml:space="preserve">u hóa </t>
    </r>
    <r>
      <rPr>
        <sz val="9"/>
        <color indexed="9"/>
        <rFont val="Cambria"/>
        <family val="1"/>
      </rPr>
      <t>đạ</t>
    </r>
    <r>
      <rPr>
        <sz val="9"/>
        <color indexed="9"/>
        <rFont val="等线"/>
        <family val="3"/>
        <charset val="134"/>
      </rPr>
      <t xml:space="preserve">t </t>
    </r>
    <phoneticPr fontId="32" type="noConversion"/>
  </si>
  <si>
    <t>硫化产量
今天夜班</t>
    <phoneticPr fontId="32" type="noConversion"/>
  </si>
  <si>
    <t>换模次数</t>
    <phoneticPr fontId="32" type="noConversion"/>
  </si>
  <si>
    <t>班产</t>
    <phoneticPr fontId="32" type="noConversion"/>
  </si>
  <si>
    <t>对应成型机台号</t>
    <phoneticPr fontId="32" type="noConversion"/>
  </si>
  <si>
    <t>结构</t>
    <phoneticPr fontId="32" type="noConversion"/>
  </si>
  <si>
    <t xml:space="preserve">胎胚库存
</t>
    <phoneticPr fontId="32" type="noConversion"/>
  </si>
  <si>
    <t>胶囊次数L/R</t>
    <phoneticPr fontId="32" type="noConversion"/>
  </si>
  <si>
    <r>
      <t xml:space="preserve">{yearmonthday}全钢硫化工程生产计划单
</t>
    </r>
    <r>
      <rPr>
        <b/>
        <sz val="11"/>
        <color indexed="8"/>
        <rFont val="Cambria"/>
        <family val="1"/>
      </rPr>
      <t>Đơ</t>
    </r>
    <r>
      <rPr>
        <b/>
        <sz val="11"/>
        <color indexed="8"/>
        <rFont val="等线"/>
        <family val="3"/>
        <charset val="134"/>
      </rPr>
      <t>n k</t>
    </r>
    <r>
      <rPr>
        <b/>
        <sz val="11"/>
        <color indexed="8"/>
        <rFont val="Cambria"/>
        <family val="1"/>
      </rPr>
      <t>ế</t>
    </r>
    <r>
      <rPr>
        <b/>
        <sz val="11"/>
        <color indexed="8"/>
        <rFont val="等线"/>
        <family val="3"/>
        <charset val="134"/>
      </rPr>
      <t xml:space="preserve"> ho</t>
    </r>
    <r>
      <rPr>
        <b/>
        <sz val="11"/>
        <color indexed="8"/>
        <rFont val="Cambria"/>
        <family val="1"/>
      </rPr>
      <t>ạ</t>
    </r>
    <r>
      <rPr>
        <b/>
        <sz val="11"/>
        <color indexed="8"/>
        <rFont val="等线"/>
        <family val="3"/>
        <charset val="134"/>
      </rPr>
      <t>ch s</t>
    </r>
    <r>
      <rPr>
        <b/>
        <sz val="11"/>
        <color indexed="8"/>
        <rFont val="Cambria"/>
        <family val="1"/>
      </rPr>
      <t>ả</t>
    </r>
    <r>
      <rPr>
        <b/>
        <sz val="11"/>
        <color indexed="8"/>
        <rFont val="等线"/>
        <family val="3"/>
        <charset val="134"/>
      </rPr>
      <t>n xu</t>
    </r>
    <r>
      <rPr>
        <b/>
        <sz val="11"/>
        <color indexed="8"/>
        <rFont val="Cambria"/>
        <family val="1"/>
      </rPr>
      <t>ấ</t>
    </r>
    <r>
      <rPr>
        <b/>
        <sz val="11"/>
        <color indexed="8"/>
        <rFont val="等线"/>
        <family val="3"/>
        <charset val="134"/>
      </rPr>
      <t>t c</t>
    </r>
    <r>
      <rPr>
        <b/>
        <sz val="11"/>
        <color indexed="8"/>
        <rFont val="Cambria"/>
        <family val="1"/>
      </rPr>
      <t>ủ</t>
    </r>
    <r>
      <rPr>
        <b/>
        <sz val="11"/>
        <color indexed="8"/>
        <rFont val="等线"/>
        <family val="3"/>
        <charset val="134"/>
      </rPr>
      <t xml:space="preserve">a công </t>
    </r>
    <r>
      <rPr>
        <b/>
        <sz val="11"/>
        <color indexed="8"/>
        <rFont val="Cambria"/>
        <family val="1"/>
      </rPr>
      <t>đ</t>
    </r>
    <r>
      <rPr>
        <b/>
        <sz val="11"/>
        <color indexed="8"/>
        <rFont val="等线"/>
        <family val="3"/>
        <charset val="134"/>
      </rPr>
      <t>o</t>
    </r>
    <r>
      <rPr>
        <b/>
        <sz val="11"/>
        <color indexed="8"/>
        <rFont val="Cambria"/>
        <family val="1"/>
      </rPr>
      <t>ạ</t>
    </r>
    <r>
      <rPr>
        <b/>
        <sz val="11"/>
        <color indexed="8"/>
        <rFont val="等线"/>
        <family val="3"/>
        <charset val="134"/>
      </rPr>
      <t>n l</t>
    </r>
    <r>
      <rPr>
        <b/>
        <sz val="11"/>
        <color indexed="8"/>
        <rFont val="Cambria"/>
        <family val="1"/>
      </rPr>
      <t>ư</t>
    </r>
    <r>
      <rPr>
        <b/>
        <sz val="11"/>
        <color indexed="8"/>
        <rFont val="等线"/>
        <family val="3"/>
        <charset val="134"/>
      </rPr>
      <t>u hóa toàn thép</t>
    </r>
    <phoneticPr fontId="8" type="noConversion"/>
  </si>
  <si>
    <t>早班 Ca sáng {shiftDate1}</t>
  </si>
  <si>
    <t>中班 Ca chiều {shiftDate2}</t>
  </si>
  <si>
    <t>夜班 Ca đêm {shiftDate3}</t>
  </si>
  <si>
    <t>早班 Ca sáng {shiftDate4}</t>
  </si>
  <si>
    <t>中班 Ca chiều {shiftDate5}</t>
  </si>
  <si>
    <t>夜班 Ca đêm {shiftDate6}</t>
  </si>
  <si>
    <t>早班 Ca sáng {shiftDate7}</t>
  </si>
  <si>
    <t>中班 Ca chiều {shiftDate8}</t>
  </si>
  <si>
    <r>
      <rPr>
        <sz val="9"/>
        <color indexed="8"/>
        <rFont val="等线"/>
        <family val="3"/>
        <charset val="134"/>
      </rPr>
      <t xml:space="preserve"> 版本号phiên b</t>
    </r>
    <r>
      <rPr>
        <sz val="9"/>
        <color indexed="8"/>
        <rFont val="Calibri"/>
        <family val="2"/>
        <charset val="163"/>
      </rPr>
      <t>ả</t>
    </r>
    <r>
      <rPr>
        <sz val="9"/>
        <color indexed="8"/>
        <rFont val="等线"/>
        <family val="3"/>
        <charset val="134"/>
      </rPr>
      <t>n：{batchNo}</t>
    </r>
    <phoneticPr fontId="32" type="noConversion"/>
  </si>
  <si>
    <t>{.class1Order}</t>
  </si>
  <si>
    <t>{.class1PlanQty}</t>
  </si>
  <si>
    <t>{.class1FinishQty}</t>
  </si>
  <si>
    <t>{.class1Type}</t>
  </si>
  <si>
    <t>{.class1Analysis}</t>
  </si>
  <si>
    <t>{.class1Dot}</t>
  </si>
  <si>
    <t>{.class2Order}</t>
  </si>
  <si>
    <t>{.class2PlanQty}</t>
  </si>
  <si>
    <t>{.class2FinishQty}</t>
  </si>
  <si>
    <t>{.class2Type}</t>
  </si>
  <si>
    <t>{.class2Analysis}</t>
  </si>
  <si>
    <t>{.class2Dot}</t>
  </si>
  <si>
    <t>{.class3Order}</t>
  </si>
  <si>
    <t>{.class3PlanQty}</t>
  </si>
  <si>
    <t>{.class3FinishQty}</t>
  </si>
  <si>
    <t>{.class3Type}</t>
  </si>
  <si>
    <t>{.class3Analysis}</t>
  </si>
  <si>
    <t>{.class3Dot}</t>
  </si>
  <si>
    <t>{.class4Order}</t>
  </si>
  <si>
    <t>{.class4PlanQty}</t>
  </si>
  <si>
    <t>{.class4FinishQty}</t>
  </si>
  <si>
    <t>{.class4Type}</t>
  </si>
  <si>
    <t>{.class4Analysis}</t>
  </si>
  <si>
    <t>{.class4Dot}</t>
  </si>
  <si>
    <t>{.class5Order}</t>
  </si>
  <si>
    <t>{.class5PlanQty}</t>
  </si>
  <si>
    <t>{.class5FinishQty}</t>
  </si>
  <si>
    <t>{.class5Type}</t>
  </si>
  <si>
    <t>{.class5Analysis}</t>
  </si>
  <si>
    <t>{.class5Dot}</t>
  </si>
  <si>
    <t>{.class6Order}</t>
  </si>
  <si>
    <t>{.class6PlanQty}</t>
  </si>
  <si>
    <t>{.class6FinishQty}</t>
  </si>
  <si>
    <t>{.class6Type}</t>
  </si>
  <si>
    <t>{.class6Analysis}</t>
    <phoneticPr fontId="8" type="noConversion"/>
  </si>
  <si>
    <t>{.class6Dot}</t>
  </si>
  <si>
    <t>{.class7Order}</t>
  </si>
  <si>
    <t>{.class7PlanQty}</t>
  </si>
  <si>
    <t>{.class7FinishQty}</t>
  </si>
  <si>
    <t>{.class7Type}</t>
  </si>
  <si>
    <t>{.class7Analysis}</t>
  </si>
  <si>
    <t>{.class7Dot}</t>
  </si>
  <si>
    <t>{.class8Order}</t>
  </si>
  <si>
    <t>{.class8PlanQty}</t>
  </si>
  <si>
    <t>{.class8FinishQty}</t>
  </si>
  <si>
    <t>{.class8Type}</t>
  </si>
  <si>
    <t>{.class8Analysis}</t>
  </si>
  <si>
    <t>{.class8Dot}</t>
  </si>
  <si>
    <t>{.remark}</t>
  </si>
  <si>
    <t>{.lhMachineCode}</t>
  </si>
  <si>
    <t>{.materialCode}</t>
  </si>
  <si>
    <t>{.materialDesc}</t>
  </si>
  <si>
    <t>{.mainMaterialDesc}</t>
  </si>
  <si>
    <t>{.embryoStock}</t>
  </si>
  <si>
    <t>{.singleMouldShiftQty}</t>
  </si>
  <si>
    <t>{.structureName}</t>
    <phoneticPr fontId="32" type="noConversion"/>
  </si>
  <si>
    <t>{.cxMachineCode}</t>
  </si>
  <si>
    <t>{.replaceCapsuleCountLeftRight}</t>
    <phoneticPr fontId="32" type="noConversion"/>
  </si>
  <si>
    <t>{.todayNightFinishQty}</t>
  </si>
  <si>
    <t>lhMachineCode</t>
  </si>
  <si>
    <t>materialCode</t>
  </si>
  <si>
    <t>materialDesc</t>
  </si>
  <si>
    <t>mainMaterialDesc</t>
  </si>
  <si>
    <t>structureName</t>
  </si>
  <si>
    <t>mouldSurplusQty</t>
  </si>
  <si>
    <t>embryoStock</t>
  </si>
  <si>
    <t>replaceCapsuleCountLeftRight</t>
  </si>
  <si>
    <t>singleMouldShiftQty</t>
  </si>
  <si>
    <t>class1Order</t>
  </si>
  <si>
    <t>class1PlanQty</t>
  </si>
  <si>
    <t>class1FinishQty</t>
  </si>
  <si>
    <t>leftRightMould</t>
  </si>
  <si>
    <t>class1Type</t>
  </si>
  <si>
    <t>mouldMethod</t>
  </si>
  <si>
    <t>class1Analysis</t>
  </si>
  <si>
    <t>class1Dot</t>
  </si>
  <si>
    <t>class2Order</t>
  </si>
  <si>
    <t>class2PlanQty</t>
  </si>
  <si>
    <t>class2FinishQty</t>
  </si>
  <si>
    <t>class2Type</t>
  </si>
  <si>
    <t>class2Analysis</t>
  </si>
  <si>
    <t>class2Dot</t>
  </si>
  <si>
    <t>class3Order</t>
  </si>
  <si>
    <t>class3PlanQty</t>
  </si>
  <si>
    <t>class3FinishQty</t>
  </si>
  <si>
    <t>class3Type</t>
  </si>
  <si>
    <t>class3Analysis</t>
  </si>
  <si>
    <t>class3Dot</t>
  </si>
  <si>
    <t>class4Order</t>
  </si>
  <si>
    <t>class4PlanQty</t>
  </si>
  <si>
    <t>class4FinishQty</t>
  </si>
  <si>
    <t>class4Type</t>
  </si>
  <si>
    <t>class4Analysis</t>
  </si>
  <si>
    <t>class4Dot</t>
  </si>
  <si>
    <t>class5Order</t>
  </si>
  <si>
    <t>class5PlanQty</t>
  </si>
  <si>
    <t>class5FinishQty</t>
  </si>
  <si>
    <t>class5Type</t>
  </si>
  <si>
    <t>class5Analysis</t>
  </si>
  <si>
    <t>class5Dot</t>
  </si>
  <si>
    <t>class6Order</t>
  </si>
  <si>
    <t>class6PlanQty</t>
  </si>
  <si>
    <t>class6FinishQty</t>
  </si>
  <si>
    <t>class6Type</t>
  </si>
  <si>
    <t>class6Analysis</t>
  </si>
  <si>
    <t>class6Dot</t>
  </si>
  <si>
    <t>class7Order</t>
  </si>
  <si>
    <t>class7PlanQty</t>
  </si>
  <si>
    <t>class7FinishQty</t>
  </si>
  <si>
    <t>class7Type</t>
  </si>
  <si>
    <t>class7Analysis</t>
  </si>
  <si>
    <t>class7Dot</t>
  </si>
  <si>
    <t>class8Order</t>
  </si>
  <si>
    <t>class8PlanQty</t>
  </si>
  <si>
    <t>class8FinishQty</t>
  </si>
  <si>
    <t>class8Type</t>
  </si>
  <si>
    <t>class8Analysis</t>
  </si>
  <si>
    <t>class8Dot</t>
  </si>
  <si>
    <t>dailyPlanQty</t>
  </si>
  <si>
    <t>totalFinishQty</t>
  </si>
  <si>
    <t>totalPlanQty</t>
  </si>
  <si>
    <t>remark</t>
  </si>
  <si>
    <t>cxMachineCode</t>
  </si>
  <si>
    <t>todayNightFinishQty</t>
  </si>
  <si>
    <t>{mouldChangeCount1}</t>
  </si>
  <si>
    <t>{mouldChangeCount2}</t>
  </si>
  <si>
    <t>{mouldChangeCount3}</t>
  </si>
  <si>
    <t>{mouldChangeCount4}</t>
  </si>
  <si>
    <t>{mouldChangeCount5}</t>
  </si>
  <si>
    <t>{mouldChangeCount6}</t>
  </si>
  <si>
    <t>{.class1LeftRightMould}</t>
  </si>
  <si>
    <t>{.class2LeftRightMould}</t>
  </si>
  <si>
    <t>{.class3LeftRightMould}</t>
  </si>
  <si>
    <t>{.class4LeftRightMould}</t>
  </si>
  <si>
    <t>{.class5LeftRightMould}</t>
  </si>
  <si>
    <t>{.class6LeftRightMould}</t>
  </si>
  <si>
    <t>{.class7LeftRightMould}</t>
  </si>
  <si>
    <t>{.class8LeftRightMould}</t>
  </si>
  <si>
    <t>{.class1MouldMethod}</t>
  </si>
  <si>
    <t>{.class2MouldMethod}</t>
  </si>
  <si>
    <t>{.class3MouldMethod}</t>
  </si>
  <si>
    <t>{.class4MouldMethod}</t>
  </si>
  <si>
    <t>{.class5MouldMethod}</t>
  </si>
  <si>
    <t>{.class6MouldMethod}</t>
  </si>
  <si>
    <t>{.class7MouldMethod}</t>
  </si>
  <si>
    <t>{.class8MouldMethod}</t>
  </si>
  <si>
    <t>{.totalDailyPlanQty}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</si>
</sst>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76" formatCode="_-* #,##0.00_-;\-* #,##0.00_-;_-* &quot;-&quot;??_-;_-@_-"/>
    <numFmt numFmtId="177" formatCode="[$-10804]0;\(0\)"/>
    <numFmt numFmtId="178" formatCode="m/d;@"/>
    <numFmt numFmtId="179" formatCode="_-[$$-409]* #,##0.00_ ;_-[$$-409]* \-#,##0.00\ ;_-[$$-409]* &quot;-&quot;??_ ;_-@_ "/>
  </numFmts>
  <fonts count="122" x14ac:knownFonts="1">
    <font>
      <sz val="12"/>
      <name val="宋体"/>
      <charset val="134"/>
    </font>
    <font>
      <sz val="12"/>
      <name val="宋体"/>
      <family val="3"/>
      <charset val="134"/>
    </font>
    <font>
      <sz val="10"/>
      <name val="Arial"/>
      <family val="2"/>
    </font>
    <font>
      <sz val="11"/>
      <color indexed="8"/>
      <name val="宋体"/>
      <family val="3"/>
      <charset val="134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9"/>
      <name val="宋体"/>
      <family val="3"/>
      <charset val="134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8"/>
      <name val="宋体"/>
      <family val="3"/>
      <charset val="134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2"/>
      <name val="宋体"/>
      <family val="3"/>
      <charset val="134"/>
    </font>
    <font>
      <sz val="12"/>
      <name val="宋体"/>
      <family val="3"/>
      <charset val="134"/>
    </font>
    <font>
      <sz val="12"/>
      <name val="宋体"/>
      <family val="3"/>
      <charset val="134"/>
    </font>
    <font>
      <sz val="12"/>
      <name val="宋体"/>
      <family val="3"/>
      <charset val="134"/>
    </font>
    <font>
      <b/>
      <sz val="9"/>
      <name val="等线"/>
      <family val="3"/>
      <charset val="134"/>
    </font>
    <font>
      <b/>
      <sz val="9"/>
      <color indexed="9"/>
      <name val="等线"/>
      <family val="3"/>
      <charset val="134"/>
    </font>
    <font>
      <sz val="9"/>
      <color indexed="8"/>
      <name val="等线"/>
      <family val="3"/>
      <charset val="134"/>
    </font>
    <font>
      <sz val="9"/>
      <name val="等线"/>
      <family val="3"/>
      <charset val="134"/>
    </font>
    <font>
      <b/>
      <sz val="9"/>
      <color indexed="9"/>
      <name val="Arial"/>
      <family val="2"/>
    </font>
    <font>
      <sz val="9"/>
      <color indexed="9"/>
      <name val="等线"/>
      <family val="3"/>
      <charset val="134"/>
    </font>
    <font>
      <sz val="9"/>
      <color indexed="9"/>
      <name val="Arial"/>
      <family val="2"/>
    </font>
    <font>
      <sz val="9"/>
      <color indexed="8"/>
      <name val="Calibri"/>
      <family val="2"/>
      <charset val="163"/>
    </font>
    <font>
      <b/>
      <sz val="11"/>
      <color indexed="8"/>
      <name val="等线"/>
      <family val="3"/>
      <charset val="134"/>
    </font>
    <font>
      <b/>
      <sz val="11"/>
      <color indexed="8"/>
      <name val="Cambria"/>
      <family val="1"/>
    </font>
    <font>
      <b/>
      <sz val="9"/>
      <color indexed="9"/>
      <name val="Cambria"/>
      <family val="1"/>
    </font>
    <font>
      <b/>
      <sz val="9"/>
      <color indexed="9"/>
      <name val="Calibri"/>
      <family val="2"/>
    </font>
    <font>
      <b/>
      <sz val="9"/>
      <color indexed="9"/>
      <name val="Segoe UI"/>
      <family val="2"/>
      <charset val="238"/>
    </font>
    <font>
      <sz val="9"/>
      <color indexed="9"/>
      <name val="Cambria"/>
      <family val="1"/>
    </font>
    <font>
      <b/>
      <sz val="9"/>
      <color indexed="81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color indexed="8"/>
      <name val="宋体"/>
      <family val="3"/>
      <charset val="134"/>
      <scheme val="minor"/>
    </font>
    <font>
      <sz val="9"/>
      <color theme="1"/>
      <name val="等线"/>
      <family val="3"/>
      <charset val="134"/>
    </font>
    <font>
      <b/>
      <sz val="9"/>
      <color theme="1"/>
      <name val="等线"/>
      <family val="3"/>
      <charset val="134"/>
    </font>
    <font>
      <b/>
      <sz val="9"/>
      <color theme="0"/>
      <name val="等线"/>
      <family val="3"/>
      <charset val="134"/>
    </font>
    <font>
      <sz val="9"/>
      <color rgb="FFFF0000"/>
      <name val="等线"/>
      <family val="3"/>
      <charset val="134"/>
    </font>
    <font>
      <sz val="9"/>
      <color theme="0"/>
      <name val="等线"/>
      <family val="3"/>
      <charset val="134"/>
    </font>
    <font>
      <b/>
      <sz val="11"/>
      <color theme="1"/>
      <name val="等线"/>
      <family val="3"/>
      <charset val="134"/>
    </font>
    <font>
      <b/>
      <sz val="11"/>
      <color theme="1"/>
      <name val="等线"/>
      <family val="3"/>
      <charset val="134"/>
    </font>
  </fonts>
  <fills count="6">
    <fill>
      <patternFill patternType="none"/>
    </fill>
    <fill>
      <patternFill patternType="gray125"/>
    </fill>
    <fill>
      <patternFill patternType="solid">
        <fgColor rgb="FF00808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209">
    <xf numFmtId="0" fontId="0" fillId="0" borderId="0"/>
    <xf numFmtId="176" fontId="1" fillId="0" borderId="0" applyFont="0" applyFill="0" applyBorder="0" applyAlignment="0" applyProtection="0"/>
    <xf numFmtId="0" fontId="3" fillId="0" borderId="0">
      <alignment vertical="center"/>
    </xf>
    <xf numFmtId="0" fontId="12" fillId="0" borderId="0"/>
    <xf numFmtId="0" fontId="2" fillId="0" borderId="0"/>
    <xf numFmtId="0" fontId="13" fillId="0" borderId="0"/>
    <xf numFmtId="0" fontId="2" fillId="0" borderId="0"/>
    <xf numFmtId="0" fontId="14" fillId="0" borderId="0"/>
    <xf numFmtId="0" fontId="2" fillId="0" borderId="0"/>
    <xf numFmtId="178" fontId="112" fillId="0" borderId="0"/>
    <xf numFmtId="0" fontId="2" fillId="0" borderId="0"/>
    <xf numFmtId="0" fontId="15" fillId="0" borderId="0"/>
    <xf numFmtId="0" fontId="2" fillId="0" borderId="0"/>
    <xf numFmtId="0" fontId="16" fillId="0" borderId="0"/>
    <xf numFmtId="0" fontId="2" fillId="0" borderId="0"/>
    <xf numFmtId="0" fontId="17" fillId="0" borderId="0"/>
    <xf numFmtId="0" fontId="2" fillId="0" borderId="0"/>
    <xf numFmtId="0" fontId="18" fillId="0" borderId="0"/>
    <xf numFmtId="0" fontId="2" fillId="0" borderId="0"/>
    <xf numFmtId="0" fontId="19" fillId="0" borderId="0"/>
    <xf numFmtId="0" fontId="2" fillId="0" borderId="0"/>
    <xf numFmtId="0" fontId="20" fillId="0" borderId="0"/>
    <xf numFmtId="0" fontId="2" fillId="0" borderId="0"/>
    <xf numFmtId="0" fontId="21" fillId="0" borderId="0"/>
    <xf numFmtId="0" fontId="2" fillId="0" borderId="0"/>
    <xf numFmtId="0" fontId="2" fillId="0" borderId="0"/>
    <xf numFmtId="0" fontId="113" fillId="0" borderId="0"/>
    <xf numFmtId="0" fontId="22" fillId="0" borderId="0"/>
    <xf numFmtId="0" fontId="2" fillId="0" borderId="0"/>
    <xf numFmtId="0" fontId="112" fillId="0" borderId="0"/>
    <xf numFmtId="0" fontId="23" fillId="0" borderId="0"/>
    <xf numFmtId="0" fontId="2" fillId="0" borderId="0"/>
    <xf numFmtId="0" fontId="24" fillId="0" borderId="0"/>
    <xf numFmtId="0" fontId="2" fillId="0" borderId="0"/>
    <xf numFmtId="0" fontId="25" fillId="0" borderId="0"/>
    <xf numFmtId="0" fontId="2" fillId="0" borderId="0"/>
    <xf numFmtId="0" fontId="26" fillId="0" borderId="0"/>
    <xf numFmtId="0" fontId="2" fillId="0" borderId="0"/>
    <xf numFmtId="0" fontId="27" fillId="0" borderId="0"/>
    <xf numFmtId="0" fontId="2" fillId="0" borderId="0"/>
    <xf numFmtId="0" fontId="28" fillId="0" borderId="0"/>
    <xf numFmtId="0" fontId="2" fillId="0" borderId="0"/>
    <xf numFmtId="0" fontId="29" fillId="0" borderId="0"/>
    <xf numFmtId="0" fontId="2" fillId="0" borderId="0"/>
    <xf numFmtId="0" fontId="30" fillId="0" borderId="0"/>
    <xf numFmtId="0" fontId="2" fillId="0" borderId="0"/>
    <xf numFmtId="0" fontId="31" fillId="0" borderId="0"/>
    <xf numFmtId="0" fontId="2" fillId="0" borderId="0"/>
    <xf numFmtId="0" fontId="4" fillId="0" borderId="0"/>
    <xf numFmtId="0" fontId="2" fillId="0" borderId="0"/>
    <xf numFmtId="0" fontId="33" fillId="0" borderId="0"/>
    <xf numFmtId="0" fontId="2" fillId="0" borderId="0"/>
    <xf numFmtId="0" fontId="34" fillId="0" borderId="0"/>
    <xf numFmtId="0" fontId="2" fillId="0" borderId="0"/>
    <xf numFmtId="0" fontId="35" fillId="0" borderId="0"/>
    <xf numFmtId="0" fontId="2" fillId="0" borderId="0"/>
    <xf numFmtId="0" fontId="36" fillId="0" borderId="0"/>
    <xf numFmtId="0" fontId="2" fillId="0" borderId="0"/>
    <xf numFmtId="0" fontId="37" fillId="0" borderId="0"/>
    <xf numFmtId="0" fontId="2" fillId="0" borderId="0"/>
    <xf numFmtId="0" fontId="38" fillId="0" borderId="0"/>
    <xf numFmtId="0" fontId="2" fillId="0" borderId="0"/>
    <xf numFmtId="0" fontId="39" fillId="0" borderId="0"/>
    <xf numFmtId="0" fontId="2" fillId="0" borderId="0"/>
    <xf numFmtId="0" fontId="40" fillId="0" borderId="0"/>
    <xf numFmtId="0" fontId="2" fillId="0" borderId="0"/>
    <xf numFmtId="0" fontId="41" fillId="0" borderId="0"/>
    <xf numFmtId="0" fontId="2" fillId="0" borderId="0"/>
    <xf numFmtId="0" fontId="42" fillId="0" borderId="0"/>
    <xf numFmtId="0" fontId="2" fillId="0" borderId="0"/>
    <xf numFmtId="0" fontId="5" fillId="0" borderId="0"/>
    <xf numFmtId="0" fontId="2" fillId="0" borderId="0"/>
    <xf numFmtId="0" fontId="43" fillId="0" borderId="0"/>
    <xf numFmtId="0" fontId="2" fillId="0" borderId="0"/>
    <xf numFmtId="0" fontId="44" fillId="0" borderId="0"/>
    <xf numFmtId="0" fontId="2" fillId="0" borderId="0"/>
    <xf numFmtId="0" fontId="45" fillId="0" borderId="0"/>
    <xf numFmtId="0" fontId="2" fillId="0" borderId="0"/>
    <xf numFmtId="0" fontId="46" fillId="0" borderId="0"/>
    <xf numFmtId="0" fontId="2" fillId="0" borderId="0"/>
    <xf numFmtId="0" fontId="47" fillId="0" borderId="0"/>
    <xf numFmtId="0" fontId="2" fillId="0" borderId="0"/>
    <xf numFmtId="0" fontId="48" fillId="0" borderId="0"/>
    <xf numFmtId="0" fontId="2" fillId="0" borderId="0"/>
    <xf numFmtId="0" fontId="49" fillId="0" borderId="0"/>
    <xf numFmtId="0" fontId="2" fillId="0" borderId="0"/>
    <xf numFmtId="0" fontId="50" fillId="0" borderId="0"/>
    <xf numFmtId="0" fontId="2" fillId="0" borderId="0"/>
    <xf numFmtId="0" fontId="51" fillId="0" borderId="0"/>
    <xf numFmtId="0" fontId="2" fillId="0" borderId="0"/>
    <xf numFmtId="0" fontId="52" fillId="0" borderId="0"/>
    <xf numFmtId="0" fontId="2" fillId="0" borderId="0"/>
    <xf numFmtId="0" fontId="6" fillId="0" borderId="0"/>
    <xf numFmtId="0" fontId="2" fillId="0" borderId="0"/>
    <xf numFmtId="0" fontId="93" fillId="0" borderId="0"/>
    <xf numFmtId="0" fontId="1" fillId="0" borderId="0"/>
    <xf numFmtId="0" fontId="94" fillId="0" borderId="0"/>
    <xf numFmtId="0" fontId="1" fillId="0" borderId="0"/>
    <xf numFmtId="0" fontId="95" fillId="0" borderId="0"/>
    <xf numFmtId="0" fontId="1" fillId="0" borderId="0"/>
    <xf numFmtId="0" fontId="2" fillId="0" borderId="0"/>
    <xf numFmtId="0" fontId="96" fillId="0" borderId="0"/>
    <xf numFmtId="0" fontId="53" fillId="0" borderId="0"/>
    <xf numFmtId="0" fontId="2" fillId="0" borderId="0"/>
    <xf numFmtId="0" fontId="54" fillId="0" borderId="0"/>
    <xf numFmtId="0" fontId="2" fillId="0" borderId="0"/>
    <xf numFmtId="0" fontId="55" fillId="0" borderId="0"/>
    <xf numFmtId="0" fontId="2" fillId="0" borderId="0"/>
    <xf numFmtId="0" fontId="56" fillId="0" borderId="0"/>
    <xf numFmtId="0" fontId="2" fillId="0" borderId="0"/>
    <xf numFmtId="0" fontId="57" fillId="0" borderId="0"/>
    <xf numFmtId="0" fontId="2" fillId="0" borderId="0"/>
    <xf numFmtId="0" fontId="58" fillId="0" borderId="0"/>
    <xf numFmtId="0" fontId="2" fillId="0" borderId="0"/>
    <xf numFmtId="0" fontId="59" fillId="0" borderId="0"/>
    <xf numFmtId="0" fontId="2" fillId="0" borderId="0"/>
    <xf numFmtId="0" fontId="60" fillId="0" borderId="0"/>
    <xf numFmtId="0" fontId="2" fillId="0" borderId="0"/>
    <xf numFmtId="0" fontId="61" fillId="0" borderId="0"/>
    <xf numFmtId="0" fontId="2" fillId="0" borderId="0"/>
    <xf numFmtId="0" fontId="62" fillId="0" borderId="0"/>
    <xf numFmtId="0" fontId="2" fillId="0" borderId="0"/>
    <xf numFmtId="0" fontId="7" fillId="0" borderId="0"/>
    <xf numFmtId="0" fontId="2" fillId="0" borderId="0"/>
    <xf numFmtId="0" fontId="63" fillId="0" borderId="0"/>
    <xf numFmtId="0" fontId="2" fillId="0" borderId="0"/>
    <xf numFmtId="0" fontId="64" fillId="0" borderId="0"/>
    <xf numFmtId="0" fontId="2" fillId="0" borderId="0"/>
    <xf numFmtId="0" fontId="65" fillId="0" borderId="0"/>
    <xf numFmtId="0" fontId="2" fillId="0" borderId="0"/>
    <xf numFmtId="0" fontId="66" fillId="0" borderId="0"/>
    <xf numFmtId="0" fontId="2" fillId="0" borderId="0"/>
    <xf numFmtId="0" fontId="67" fillId="0" borderId="0"/>
    <xf numFmtId="0" fontId="2" fillId="0" borderId="0"/>
    <xf numFmtId="0" fontId="68" fillId="0" borderId="0"/>
    <xf numFmtId="0" fontId="2" fillId="0" borderId="0"/>
    <xf numFmtId="0" fontId="69" fillId="0" borderId="0"/>
    <xf numFmtId="0" fontId="2" fillId="0" borderId="0"/>
    <xf numFmtId="0" fontId="70" fillId="0" borderId="0"/>
    <xf numFmtId="0" fontId="2" fillId="0" borderId="0"/>
    <xf numFmtId="0" fontId="71" fillId="0" borderId="0"/>
    <xf numFmtId="0" fontId="2" fillId="0" borderId="0"/>
    <xf numFmtId="0" fontId="72" fillId="0" borderId="0"/>
    <xf numFmtId="0" fontId="2" fillId="0" borderId="0"/>
    <xf numFmtId="0" fontId="9" fillId="0" borderId="0"/>
    <xf numFmtId="0" fontId="2" fillId="0" borderId="0"/>
    <xf numFmtId="0" fontId="73" fillId="0" borderId="0"/>
    <xf numFmtId="0" fontId="2" fillId="0" borderId="0"/>
    <xf numFmtId="0" fontId="74" fillId="0" borderId="0"/>
    <xf numFmtId="0" fontId="2" fillId="0" borderId="0"/>
    <xf numFmtId="0" fontId="75" fillId="0" borderId="0"/>
    <xf numFmtId="0" fontId="2" fillId="0" borderId="0"/>
    <xf numFmtId="0" fontId="76" fillId="0" borderId="0"/>
    <xf numFmtId="0" fontId="2" fillId="0" borderId="0"/>
    <xf numFmtId="0" fontId="77" fillId="0" borderId="0"/>
    <xf numFmtId="0" fontId="2" fillId="0" borderId="0"/>
    <xf numFmtId="0" fontId="78" fillId="0" borderId="0"/>
    <xf numFmtId="0" fontId="2" fillId="0" borderId="0"/>
    <xf numFmtId="0" fontId="79" fillId="0" borderId="0"/>
    <xf numFmtId="0" fontId="2" fillId="0" borderId="0"/>
    <xf numFmtId="0" fontId="80" fillId="0" borderId="0"/>
    <xf numFmtId="0" fontId="2" fillId="0" borderId="0"/>
    <xf numFmtId="0" fontId="81" fillId="0" borderId="0"/>
    <xf numFmtId="0" fontId="2" fillId="0" borderId="0"/>
    <xf numFmtId="0" fontId="82" fillId="0" borderId="0"/>
    <xf numFmtId="0" fontId="2" fillId="0" borderId="0"/>
    <xf numFmtId="0" fontId="10" fillId="0" borderId="0"/>
    <xf numFmtId="0" fontId="2" fillId="0" borderId="0"/>
    <xf numFmtId="0" fontId="83" fillId="0" borderId="0"/>
    <xf numFmtId="0" fontId="2" fillId="0" borderId="0"/>
    <xf numFmtId="0" fontId="84" fillId="0" borderId="0"/>
    <xf numFmtId="0" fontId="2" fillId="0" borderId="0"/>
    <xf numFmtId="0" fontId="85" fillId="0" borderId="0"/>
    <xf numFmtId="0" fontId="2" fillId="0" borderId="0"/>
    <xf numFmtId="0" fontId="86" fillId="0" borderId="0"/>
    <xf numFmtId="0" fontId="2" fillId="0" borderId="0"/>
    <xf numFmtId="0" fontId="87" fillId="0" borderId="0"/>
    <xf numFmtId="0" fontId="2" fillId="0" borderId="0"/>
    <xf numFmtId="0" fontId="88" fillId="0" borderId="0"/>
    <xf numFmtId="0" fontId="2" fillId="0" borderId="0"/>
    <xf numFmtId="0" fontId="89" fillId="0" borderId="0"/>
    <xf numFmtId="0" fontId="2" fillId="0" borderId="0"/>
    <xf numFmtId="0" fontId="90" fillId="0" borderId="0"/>
    <xf numFmtId="0" fontId="2" fillId="0" borderId="0"/>
    <xf numFmtId="0" fontId="91" fillId="0" borderId="0"/>
    <xf numFmtId="0" fontId="2" fillId="0" borderId="0"/>
    <xf numFmtId="0" fontId="92" fillId="0" borderId="0"/>
    <xf numFmtId="0" fontId="2" fillId="0" borderId="0"/>
    <xf numFmtId="0" fontId="11" fillId="0" borderId="0"/>
    <xf numFmtId="0" fontId="2" fillId="0" borderId="0"/>
    <xf numFmtId="0" fontId="112" fillId="0" borderId="0"/>
    <xf numFmtId="179" fontId="112" fillId="0" borderId="0"/>
    <xf numFmtId="179" fontId="112" fillId="0" borderId="0"/>
    <xf numFmtId="0" fontId="112" fillId="0" borderId="0"/>
    <xf numFmtId="9" fontId="112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3" fillId="0" borderId="0">
      <alignment vertical="center"/>
    </xf>
    <xf numFmtId="0" fontId="2" fillId="0" borderId="0"/>
    <xf numFmtId="0" fontId="1" fillId="0" borderId="0">
      <alignment vertical="center"/>
    </xf>
    <xf numFmtId="0" fontId="2" fillId="0" borderId="0"/>
    <xf numFmtId="176" fontId="114" fillId="0" borderId="0" applyFont="0" applyFill="0" applyBorder="0" applyAlignment="0" applyProtection="0">
      <alignment vertical="center"/>
    </xf>
    <xf numFmtId="176" fontId="114" fillId="0" borderId="0" applyFont="0" applyFill="0" applyBorder="0" applyAlignment="0" applyProtection="0">
      <alignment vertical="center"/>
    </xf>
    <xf numFmtId="176" fontId="114" fillId="0" borderId="0" applyFont="0" applyFill="0" applyBorder="0" applyAlignment="0" applyProtection="0">
      <alignment vertical="center"/>
    </xf>
    <xf numFmtId="176" fontId="114" fillId="0" borderId="0" applyFont="0" applyFill="0" applyBorder="0" applyAlignment="0" applyProtection="0">
      <alignment vertical="center"/>
    </xf>
    <xf numFmtId="176" fontId="114" fillId="0" borderId="0" applyFont="0" applyFill="0" applyBorder="0" applyAlignment="0" applyProtection="0">
      <alignment vertical="center"/>
    </xf>
    <xf numFmtId="43" fontId="114" fillId="0" borderId="0" applyFont="0" applyFill="0" applyBorder="0" applyAlignment="0" applyProtection="0">
      <alignment vertical="center"/>
    </xf>
    <xf numFmtId="43" fontId="114" fillId="0" borderId="0" applyFont="0" applyFill="0" applyBorder="0" applyAlignment="0" applyProtection="0">
      <alignment vertical="center"/>
    </xf>
    <xf numFmtId="43" fontId="114" fillId="0" borderId="0" applyFont="0" applyFill="0" applyBorder="0" applyAlignment="0" applyProtection="0">
      <alignment vertical="center"/>
    </xf>
    <xf numFmtId="43" fontId="114" fillId="0" borderId="0" applyFont="0" applyFill="0" applyBorder="0" applyAlignment="0" applyProtection="0">
      <alignment vertical="center"/>
    </xf>
  </cellStyleXfs>
  <cellXfs count="82">
    <xf numFmtId="0" fontId="0" fillId="0" borderId="0" xfId="0"/>
    <xf numFmtId="0" fontId="115" fillId="0" borderId="0" xfId="0" applyFont="1" applyAlignment="1">
      <alignment vertical="center"/>
    </xf>
    <xf numFmtId="0" fontId="115" fillId="0" borderId="0" xfId="0" applyFont="1" applyAlignment="1">
      <alignment horizontal="center" vertical="center"/>
    </xf>
    <xf numFmtId="0" fontId="116" fillId="0" borderId="0" xfId="0" applyFont="1" applyFill="1" applyBorder="1" applyAlignment="1">
      <alignment horizontal="center" vertical="center" wrapText="1"/>
    </xf>
    <xf numFmtId="177" fontId="116" fillId="0" borderId="0" xfId="0" applyNumberFormat="1" applyFont="1" applyBorder="1" applyAlignment="1">
      <alignment horizontal="center" vertical="center"/>
    </xf>
    <xf numFmtId="177" fontId="115" fillId="0" borderId="0" xfId="0" applyNumberFormat="1" applyFont="1" applyBorder="1" applyAlignment="1">
      <alignment horizontal="center" vertical="center"/>
    </xf>
    <xf numFmtId="177" fontId="116" fillId="0" borderId="0" xfId="0" applyNumberFormat="1" applyFont="1" applyBorder="1" applyAlignment="1">
      <alignment horizontal="center" vertical="center" wrapText="1"/>
    </xf>
    <xf numFmtId="177" fontId="116" fillId="0" borderId="0" xfId="0" applyNumberFormat="1" applyFont="1" applyFill="1" applyBorder="1" applyAlignment="1">
      <alignment horizontal="center" vertical="center" wrapText="1"/>
    </xf>
    <xf numFmtId="0" fontId="117" fillId="2" borderId="2" xfId="0" applyFont="1" applyFill="1" applyBorder="1" applyAlignment="1">
      <alignment horizontal="center" vertical="top" wrapText="1"/>
    </xf>
    <xf numFmtId="0" fontId="117" fillId="2" borderId="4" xfId="0" applyFont="1" applyFill="1" applyBorder="1" applyAlignment="1">
      <alignment horizontal="center" vertical="top" wrapText="1"/>
    </xf>
    <xf numFmtId="0" fontId="117" fillId="2" borderId="12" xfId="0" applyFont="1" applyFill="1" applyBorder="1" applyAlignment="1">
      <alignment horizontal="center" vertical="top" wrapText="1"/>
    </xf>
    <xf numFmtId="0" fontId="115" fillId="0" borderId="0" xfId="0" applyFont="1" applyAlignment="1">
      <alignment horizontal="left" vertical="center"/>
    </xf>
    <xf numFmtId="0" fontId="117" fillId="2" borderId="8" xfId="0" applyFont="1" applyFill="1" applyBorder="1" applyAlignment="1">
      <alignment horizontal="center" vertical="top"/>
    </xf>
    <xf numFmtId="0" fontId="117" fillId="2" borderId="2" xfId="0" applyFont="1" applyFill="1" applyBorder="1" applyAlignment="1">
      <alignment horizontal="center" vertical="top" wrapText="1"/>
    </xf>
    <xf numFmtId="0" fontId="115" fillId="0" borderId="0" xfId="0" applyFont="1" applyFill="1" applyAlignment="1">
      <alignment horizontal="center" vertical="center"/>
    </xf>
    <xf numFmtId="0" fontId="115" fillId="0" borderId="0" xfId="0" applyFont="1" applyAlignment="1">
      <alignment vertical="center"/>
    </xf>
    <xf numFmtId="0" fontId="115" fillId="0" borderId="0" xfId="0" applyFont="1" applyFill="1" applyAlignment="1">
      <alignment vertical="center"/>
    </xf>
    <xf numFmtId="0" fontId="115" fillId="0" borderId="0" xfId="0" applyFont="1" applyFill="1" applyAlignment="1">
      <alignment vertical="top"/>
    </xf>
    <xf numFmtId="0" fontId="115" fillId="0" borderId="0" xfId="0" applyFont="1" applyFill="1" applyAlignment="1">
      <alignment horizontal="center" vertical="top"/>
    </xf>
    <xf numFmtId="0" fontId="115" fillId="0" borderId="0" xfId="0" applyFont="1" applyAlignment="1">
      <alignment vertical="top"/>
    </xf>
    <xf numFmtId="0" fontId="115" fillId="0" borderId="0" xfId="0" applyFont="1" applyFill="1" applyAlignment="1">
      <alignment horizontal="left" vertical="center"/>
    </xf>
    <xf numFmtId="0" fontId="115" fillId="0" borderId="0" xfId="0" applyFont="1" applyAlignment="1">
      <alignment horizontal="center" vertical="center"/>
    </xf>
    <xf numFmtId="0" fontId="115" fillId="0" borderId="0" xfId="0" applyFont="1" applyAlignment="1">
      <alignment horizontal="left" vertical="center"/>
    </xf>
    <xf numFmtId="0" fontId="100" fillId="0" borderId="0" xfId="0" applyFont="1" applyFill="1" applyAlignment="1">
      <alignment horizontal="left" vertical="center"/>
    </xf>
    <xf numFmtId="0" fontId="100" fillId="0" borderId="0" xfId="0" applyFont="1" applyFill="1" applyAlignment="1">
      <alignment vertical="center"/>
    </xf>
    <xf numFmtId="0" fontId="117" fillId="2" borderId="8" xfId="0" applyFont="1" applyFill="1" applyBorder="1" applyAlignment="1">
      <alignment horizontal="center" vertical="top" wrapText="1"/>
    </xf>
    <xf numFmtId="0" fontId="115" fillId="0" borderId="14" xfId="0" applyFont="1" applyFill="1" applyBorder="1" applyAlignment="1">
      <alignment horizontal="center" vertical="center" wrapText="1"/>
    </xf>
    <xf numFmtId="177" fontId="118" fillId="0" borderId="0" xfId="0" applyNumberFormat="1" applyFont="1" applyFill="1" applyAlignment="1">
      <alignment horizontal="center" vertical="center"/>
    </xf>
    <xf numFmtId="0" fontId="120" fillId="0" borderId="0" xfId="0" applyFont="1" applyAlignment="1">
      <alignment vertical="center"/>
    </xf>
    <xf numFmtId="0" fontId="116" fillId="0" borderId="0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top" wrapText="1"/>
    </xf>
    <xf numFmtId="0" fontId="119" fillId="3" borderId="1" xfId="0" applyFont="1" applyFill="1" applyBorder="1" applyAlignment="1">
      <alignment horizontal="center" vertical="top" wrapText="1"/>
    </xf>
    <xf numFmtId="0" fontId="117" fillId="2" borderId="9" xfId="0" applyFont="1" applyFill="1" applyBorder="1" applyAlignment="1">
      <alignment horizontal="center" vertical="top" wrapText="1"/>
    </xf>
    <xf numFmtId="0" fontId="117" fillId="2" borderId="15" xfId="0" applyFont="1" applyFill="1" applyBorder="1" applyAlignment="1">
      <alignment horizontal="center" vertical="top" wrapText="1"/>
    </xf>
    <xf numFmtId="0" fontId="119" fillId="3" borderId="11" xfId="0" applyFont="1" applyFill="1" applyBorder="1" applyAlignment="1">
      <alignment horizontal="center" vertical="top" wrapText="1"/>
    </xf>
    <xf numFmtId="0" fontId="119" fillId="3" borderId="3" xfId="0" applyFont="1" applyFill="1" applyBorder="1" applyAlignment="1">
      <alignment horizontal="center" vertical="top" wrapText="1"/>
    </xf>
    <xf numFmtId="177" fontId="115" fillId="0" borderId="3" xfId="0" applyNumberFormat="1" applyFont="1" applyFill="1" applyBorder="1" applyAlignment="1">
      <alignment horizontal="center" vertical="center"/>
    </xf>
    <xf numFmtId="0" fontId="119" fillId="4" borderId="1" xfId="0" applyFont="1" applyFill="1" applyBorder="1" applyAlignment="1">
      <alignment horizontal="center" vertical="top" wrapText="1"/>
    </xf>
    <xf numFmtId="0" fontId="119" fillId="4" borderId="1" xfId="0" applyFont="1" applyFill="1" applyBorder="1" applyAlignment="1">
      <alignment horizontal="center" vertical="top" wrapText="1"/>
    </xf>
    <xf numFmtId="0" fontId="119" fillId="4" borderId="11" xfId="0" applyFont="1" applyFill="1" applyBorder="1" applyAlignment="1">
      <alignment horizontal="center" vertical="top" wrapText="1"/>
    </xf>
    <xf numFmtId="0" fontId="119" fillId="4" borderId="3" xfId="0" applyFont="1" applyFill="1" applyBorder="1" applyAlignment="1">
      <alignment horizontal="center" vertical="top" wrapText="1"/>
    </xf>
    <xf numFmtId="0" fontId="119" fillId="5" borderId="1" xfId="0" applyFont="1" applyFill="1" applyBorder="1" applyAlignment="1">
      <alignment horizontal="center" vertical="top" wrapText="1"/>
    </xf>
    <xf numFmtId="0" fontId="119" fillId="5" borderId="1" xfId="0" applyFont="1" applyFill="1" applyBorder="1" applyAlignment="1">
      <alignment horizontal="center" vertical="top" wrapText="1"/>
    </xf>
    <xf numFmtId="0" fontId="119" fillId="5" borderId="11" xfId="0" applyFont="1" applyFill="1" applyBorder="1" applyAlignment="1">
      <alignment horizontal="center" vertical="top" wrapText="1"/>
    </xf>
    <xf numFmtId="0" fontId="119" fillId="5" borderId="10" xfId="0" applyFont="1" applyFill="1" applyBorder="1" applyAlignment="1">
      <alignment horizontal="center" vertical="top" wrapText="1"/>
    </xf>
    <xf numFmtId="0" fontId="116" fillId="0" borderId="0" xfId="0" applyFont="1" applyFill="1" applyBorder="1" applyAlignment="1">
      <alignment horizontal="center" vertical="center"/>
    </xf>
    <xf numFmtId="0" fontId="97" fillId="0" borderId="0" xfId="0" applyFont="1" applyBorder="1" applyAlignment="1">
      <alignment horizontal="center" vertical="center"/>
    </xf>
    <xf numFmtId="0" fontId="116" fillId="0" borderId="0" xfId="0" applyFont="1" applyBorder="1" applyAlignment="1">
      <alignment horizontal="center" vertical="center"/>
    </xf>
    <xf numFmtId="177" fontId="116" fillId="0" borderId="0" xfId="0" applyNumberFormat="1" applyFont="1" applyBorder="1" applyAlignment="1">
      <alignment vertical="center"/>
    </xf>
    <xf numFmtId="177" fontId="116" fillId="0" borderId="6" xfId="0" applyNumberFormat="1" applyFont="1" applyBorder="1" applyAlignment="1">
      <alignment vertical="center" wrapText="1"/>
    </xf>
    <xf numFmtId="0" fontId="120" fillId="0" borderId="0" xfId="0" applyFont="1" applyAlignment="1">
      <alignment vertical="center"/>
    </xf>
    <xf numFmtId="0" fontId="117" fillId="2" borderId="2" xfId="0" applyFont="1" applyFill="1" applyBorder="1" applyAlignment="1">
      <alignment horizontal="center" vertical="top" wrapText="1"/>
    </xf>
    <xf numFmtId="0" fontId="117" fillId="2" borderId="2" xfId="0" applyFont="1" applyFill="1" applyBorder="1" applyAlignment="1">
      <alignment horizontal="center" vertical="top" wrapText="1"/>
    </xf>
    <xf numFmtId="0" fontId="99" fillId="0" borderId="0" xfId="0" applyFont="1" applyAlignment="1">
      <alignment vertical="center"/>
    </xf>
    <xf numFmtId="0" fontId="115" fillId="0" borderId="1" xfId="0" applyFont="1" applyFill="1" applyBorder="1" applyAlignment="1">
      <alignment horizontal="center" vertical="center" wrapText="1"/>
    </xf>
    <xf numFmtId="0" fontId="115" fillId="0" borderId="1" xfId="0" applyFont="1" applyFill="1" applyBorder="1" applyAlignment="1">
      <alignment horizontal="center" vertical="center"/>
    </xf>
    <xf numFmtId="0" fontId="115" fillId="0" borderId="1" xfId="0" applyFont="1" applyFill="1" applyBorder="1" applyAlignment="1">
      <alignment horizontal="left" vertical="center"/>
    </xf>
    <xf numFmtId="0" fontId="115" fillId="0" borderId="1" xfId="0" applyFont="1" applyFill="1" applyBorder="1" applyAlignment="1">
      <alignment horizontal="left" vertical="center" wrapText="1"/>
    </xf>
    <xf numFmtId="0" fontId="115" fillId="0" borderId="3" xfId="0" applyFont="1" applyFill="1" applyBorder="1" applyAlignment="1">
      <alignment horizontal="center" vertical="center" wrapText="1"/>
    </xf>
    <xf numFmtId="177" fontId="115" fillId="0" borderId="11" xfId="0" applyNumberFormat="1" applyFont="1" applyFill="1" applyBorder="1" applyAlignment="1">
      <alignment horizontal="center" vertical="center"/>
    </xf>
    <xf numFmtId="177" fontId="115" fillId="0" borderId="1" xfId="0" applyNumberFormat="1" applyFont="1" applyFill="1" applyBorder="1" applyAlignment="1">
      <alignment horizontal="center" vertical="center"/>
    </xf>
    <xf numFmtId="177" fontId="115" fillId="0" borderId="10" xfId="0" applyNumberFormat="1" applyFont="1" applyFill="1" applyBorder="1" applyAlignment="1">
      <alignment horizontal="center" vertical="center"/>
    </xf>
    <xf numFmtId="177" fontId="116" fillId="0" borderId="5" xfId="0" applyNumberFormat="1" applyFont="1" applyFill="1" applyBorder="1" applyAlignment="1">
      <alignment horizontal="center" vertical="center"/>
    </xf>
    <xf numFmtId="177" fontId="116" fillId="0" borderId="1" xfId="0" applyNumberFormat="1" applyFont="1" applyFill="1" applyBorder="1" applyAlignment="1">
      <alignment horizontal="center" vertical="center"/>
    </xf>
    <xf numFmtId="0" fontId="121" fillId="0" borderId="0" xfId="0" applyFont="1" applyAlignment="1">
      <alignment vertical="center"/>
    </xf>
    <xf numFmtId="0" fontId="117" fillId="2" borderId="6" xfId="0" applyFont="1" applyFill="1" applyBorder="1" applyAlignment="1">
      <alignment horizontal="center" vertical="center" wrapText="1"/>
    </xf>
    <xf numFmtId="0" fontId="117" fillId="2" borderId="7" xfId="0" applyFont="1" applyFill="1" applyBorder="1" applyAlignment="1">
      <alignment horizontal="center" vertical="center"/>
    </xf>
    <xf numFmtId="0" fontId="117" fillId="5" borderId="18" xfId="0" applyFont="1" applyFill="1" applyBorder="1" applyAlignment="1">
      <alignment horizontal="center" vertical="center"/>
    </xf>
    <xf numFmtId="0" fontId="117" fillId="5" borderId="16" xfId="0" applyFont="1" applyFill="1" applyBorder="1" applyAlignment="1">
      <alignment horizontal="center" vertical="center"/>
    </xf>
    <xf numFmtId="0" fontId="117" fillId="5" borderId="19" xfId="0" applyFont="1" applyFill="1" applyBorder="1" applyAlignment="1">
      <alignment horizontal="center" vertical="center"/>
    </xf>
    <xf numFmtId="0" fontId="117" fillId="5" borderId="13" xfId="0" applyFont="1" applyFill="1" applyBorder="1" applyAlignment="1">
      <alignment horizontal="center" vertical="center"/>
    </xf>
    <xf numFmtId="0" fontId="117" fillId="3" borderId="18" xfId="0" quotePrefix="1" applyFont="1" applyFill="1" applyBorder="1" applyAlignment="1">
      <alignment horizontal="center" vertical="center" wrapText="1"/>
    </xf>
    <xf numFmtId="0" fontId="117" fillId="3" borderId="16" xfId="0" quotePrefix="1" applyFont="1" applyFill="1" applyBorder="1" applyAlignment="1">
      <alignment horizontal="center" vertical="center" wrapText="1"/>
    </xf>
    <xf numFmtId="0" fontId="117" fillId="3" borderId="19" xfId="0" quotePrefix="1" applyFont="1" applyFill="1" applyBorder="1" applyAlignment="1">
      <alignment horizontal="center" vertical="center" wrapText="1"/>
    </xf>
    <xf numFmtId="0" fontId="117" fillId="4" borderId="13" xfId="0" applyFont="1" applyFill="1" applyBorder="1" applyAlignment="1">
      <alignment horizontal="center" vertical="center"/>
    </xf>
    <xf numFmtId="0" fontId="117" fillId="4" borderId="16" xfId="0" applyFont="1" applyFill="1" applyBorder="1" applyAlignment="1">
      <alignment horizontal="center" vertical="center"/>
    </xf>
    <xf numFmtId="0" fontId="117" fillId="4" borderId="19" xfId="0" applyFont="1" applyFill="1" applyBorder="1" applyAlignment="1">
      <alignment horizontal="center" vertical="center"/>
    </xf>
    <xf numFmtId="0" fontId="117" fillId="4" borderId="17" xfId="0" applyFont="1" applyFill="1" applyBorder="1" applyAlignment="1">
      <alignment horizontal="center" vertical="center"/>
    </xf>
    <xf numFmtId="0" fontId="117" fillId="4" borderId="18" xfId="0" applyFont="1" applyFill="1" applyBorder="1" applyAlignment="1">
      <alignment horizontal="center" vertical="center"/>
    </xf>
    <xf numFmtId="0" fontId="117" fillId="5" borderId="17" xfId="0" applyFont="1" applyFill="1" applyBorder="1" applyAlignment="1">
      <alignment horizontal="center" vertical="center"/>
    </xf>
    <xf numFmtId="0" fontId="117" fillId="3" borderId="13" xfId="0" quotePrefix="1" applyFont="1" applyFill="1" applyBorder="1" applyAlignment="1">
      <alignment horizontal="center" vertical="center" wrapText="1"/>
    </xf>
    <xf numFmtId="0" fontId="117" fillId="3" borderId="17" xfId="0" quotePrefix="1" applyFont="1" applyFill="1" applyBorder="1" applyAlignment="1">
      <alignment horizontal="center" vertical="center" wrapText="1"/>
    </xf>
  </cellXfs>
  <cellStyles count="209">
    <cellStyle name="Comma 2" xfId="1" xr:uid="{00000000-0005-0000-0000-000000000000}"/>
    <cellStyle name="Excel Built-in Normal" xfId="2" xr:uid="{00000000-0005-0000-0000-000001000000}"/>
    <cellStyle name="Normal 10" xfId="3" xr:uid="{00000000-0005-0000-0000-000002000000}"/>
    <cellStyle name="Normal 10 2" xfId="4" xr:uid="{00000000-0005-0000-0000-000003000000}"/>
    <cellStyle name="Normal 11" xfId="5" xr:uid="{00000000-0005-0000-0000-000004000000}"/>
    <cellStyle name="Normal 11 2" xfId="6" xr:uid="{00000000-0005-0000-0000-000005000000}"/>
    <cellStyle name="Normal 12" xfId="7" xr:uid="{00000000-0005-0000-0000-000006000000}"/>
    <cellStyle name="Normal 12 2" xfId="8" xr:uid="{00000000-0005-0000-0000-000007000000}"/>
    <cellStyle name="Normal 12 3" xfId="9" xr:uid="{00000000-0005-0000-0000-000008000000}"/>
    <cellStyle name="Normal 12 4" xfId="10" xr:uid="{00000000-0005-0000-0000-000009000000}"/>
    <cellStyle name="Normal 13" xfId="11" xr:uid="{00000000-0005-0000-0000-00000A000000}"/>
    <cellStyle name="Normal 13 2" xfId="12" xr:uid="{00000000-0005-0000-0000-00000B000000}"/>
    <cellStyle name="Normal 14" xfId="13" xr:uid="{00000000-0005-0000-0000-00000C000000}"/>
    <cellStyle name="Normal 14 2" xfId="14" xr:uid="{00000000-0005-0000-0000-00000D000000}"/>
    <cellStyle name="Normal 15" xfId="15" xr:uid="{00000000-0005-0000-0000-00000E000000}"/>
    <cellStyle name="Normal 15 2" xfId="16" xr:uid="{00000000-0005-0000-0000-00000F000000}"/>
    <cellStyle name="Normal 16" xfId="17" xr:uid="{00000000-0005-0000-0000-000010000000}"/>
    <cellStyle name="Normal 16 2" xfId="18" xr:uid="{00000000-0005-0000-0000-000011000000}"/>
    <cellStyle name="Normal 17" xfId="19" xr:uid="{00000000-0005-0000-0000-000012000000}"/>
    <cellStyle name="Normal 17 2" xfId="20" xr:uid="{00000000-0005-0000-0000-000013000000}"/>
    <cellStyle name="Normal 18" xfId="21" xr:uid="{00000000-0005-0000-0000-000014000000}"/>
    <cellStyle name="Normal 18 2" xfId="22" xr:uid="{00000000-0005-0000-0000-000015000000}"/>
    <cellStyle name="Normal 19" xfId="23" xr:uid="{00000000-0005-0000-0000-000016000000}"/>
    <cellStyle name="Normal 19 2" xfId="24" xr:uid="{00000000-0005-0000-0000-000017000000}"/>
    <cellStyle name="Normal 2" xfId="25" xr:uid="{00000000-0005-0000-0000-000018000000}"/>
    <cellStyle name="Normal 2 2" xfId="26" xr:uid="{00000000-0005-0000-0000-000019000000}"/>
    <cellStyle name="Normal 20" xfId="27" xr:uid="{00000000-0005-0000-0000-00001A000000}"/>
    <cellStyle name="Normal 20 2" xfId="28" xr:uid="{00000000-0005-0000-0000-00001B000000}"/>
    <cellStyle name="Normal 20 3" xfId="29" xr:uid="{00000000-0005-0000-0000-00001C000000}"/>
    <cellStyle name="Normal 21" xfId="30" xr:uid="{00000000-0005-0000-0000-00001D000000}"/>
    <cellStyle name="Normal 21 2" xfId="31" xr:uid="{00000000-0005-0000-0000-00001E000000}"/>
    <cellStyle name="Normal 22" xfId="32" xr:uid="{00000000-0005-0000-0000-00001F000000}"/>
    <cellStyle name="Normal 22 2" xfId="33" xr:uid="{00000000-0005-0000-0000-000020000000}"/>
    <cellStyle name="Normal 23" xfId="34" xr:uid="{00000000-0005-0000-0000-000021000000}"/>
    <cellStyle name="Normal 23 2" xfId="35" xr:uid="{00000000-0005-0000-0000-000022000000}"/>
    <cellStyle name="Normal 24" xfId="36" xr:uid="{00000000-0005-0000-0000-000023000000}"/>
    <cellStyle name="Normal 24 2" xfId="37" xr:uid="{00000000-0005-0000-0000-000024000000}"/>
    <cellStyle name="Normal 25" xfId="38" xr:uid="{00000000-0005-0000-0000-000025000000}"/>
    <cellStyle name="Normal 25 2" xfId="39" xr:uid="{00000000-0005-0000-0000-000026000000}"/>
    <cellStyle name="Normal 26" xfId="40" xr:uid="{00000000-0005-0000-0000-000027000000}"/>
    <cellStyle name="Normal 26 2" xfId="41" xr:uid="{00000000-0005-0000-0000-000028000000}"/>
    <cellStyle name="Normal 27" xfId="42" xr:uid="{00000000-0005-0000-0000-000029000000}"/>
    <cellStyle name="Normal 27 2" xfId="43" xr:uid="{00000000-0005-0000-0000-00002A000000}"/>
    <cellStyle name="Normal 28" xfId="44" xr:uid="{00000000-0005-0000-0000-00002B000000}"/>
    <cellStyle name="Normal 28 2" xfId="45" xr:uid="{00000000-0005-0000-0000-00002C000000}"/>
    <cellStyle name="Normal 29" xfId="46" xr:uid="{00000000-0005-0000-0000-00002D000000}"/>
    <cellStyle name="Normal 29 2" xfId="47" xr:uid="{00000000-0005-0000-0000-00002E000000}"/>
    <cellStyle name="Normal 3" xfId="48" xr:uid="{00000000-0005-0000-0000-00002F000000}"/>
    <cellStyle name="Normal 3 2" xfId="49" xr:uid="{00000000-0005-0000-0000-000030000000}"/>
    <cellStyle name="Normal 30" xfId="50" xr:uid="{00000000-0005-0000-0000-000031000000}"/>
    <cellStyle name="Normal 30 2" xfId="51" xr:uid="{00000000-0005-0000-0000-000032000000}"/>
    <cellStyle name="Normal 31" xfId="52" xr:uid="{00000000-0005-0000-0000-000033000000}"/>
    <cellStyle name="Normal 31 2" xfId="53" xr:uid="{00000000-0005-0000-0000-000034000000}"/>
    <cellStyle name="Normal 32" xfId="54" xr:uid="{00000000-0005-0000-0000-000035000000}"/>
    <cellStyle name="Normal 32 2" xfId="55" xr:uid="{00000000-0005-0000-0000-000036000000}"/>
    <cellStyle name="Normal 33" xfId="56" xr:uid="{00000000-0005-0000-0000-000037000000}"/>
    <cellStyle name="Normal 33 2" xfId="57" xr:uid="{00000000-0005-0000-0000-000038000000}"/>
    <cellStyle name="Normal 34" xfId="58" xr:uid="{00000000-0005-0000-0000-000039000000}"/>
    <cellStyle name="Normal 34 2" xfId="59" xr:uid="{00000000-0005-0000-0000-00003A000000}"/>
    <cellStyle name="Normal 35" xfId="60" xr:uid="{00000000-0005-0000-0000-00003B000000}"/>
    <cellStyle name="Normal 35 2" xfId="61" xr:uid="{00000000-0005-0000-0000-00003C000000}"/>
    <cellStyle name="Normal 36" xfId="62" xr:uid="{00000000-0005-0000-0000-00003D000000}"/>
    <cellStyle name="Normal 36 2" xfId="63" xr:uid="{00000000-0005-0000-0000-00003E000000}"/>
    <cellStyle name="Normal 37" xfId="64" xr:uid="{00000000-0005-0000-0000-00003F000000}"/>
    <cellStyle name="Normal 37 2" xfId="65" xr:uid="{00000000-0005-0000-0000-000040000000}"/>
    <cellStyle name="Normal 38" xfId="66" xr:uid="{00000000-0005-0000-0000-000041000000}"/>
    <cellStyle name="Normal 38 2" xfId="67" xr:uid="{00000000-0005-0000-0000-000042000000}"/>
    <cellStyle name="Normal 39" xfId="68" xr:uid="{00000000-0005-0000-0000-000043000000}"/>
    <cellStyle name="Normal 39 2" xfId="69" xr:uid="{00000000-0005-0000-0000-000044000000}"/>
    <cellStyle name="Normal 4" xfId="70" xr:uid="{00000000-0005-0000-0000-000045000000}"/>
    <cellStyle name="Normal 4 2" xfId="71" xr:uid="{00000000-0005-0000-0000-000046000000}"/>
    <cellStyle name="Normal 40" xfId="72" xr:uid="{00000000-0005-0000-0000-000047000000}"/>
    <cellStyle name="Normal 40 2" xfId="73" xr:uid="{00000000-0005-0000-0000-000048000000}"/>
    <cellStyle name="Normal 41" xfId="74" xr:uid="{00000000-0005-0000-0000-000049000000}"/>
    <cellStyle name="Normal 41 2" xfId="75" xr:uid="{00000000-0005-0000-0000-00004A000000}"/>
    <cellStyle name="Normal 42" xfId="76" xr:uid="{00000000-0005-0000-0000-00004B000000}"/>
    <cellStyle name="Normal 42 2" xfId="77" xr:uid="{00000000-0005-0000-0000-00004C000000}"/>
    <cellStyle name="Normal 43" xfId="78" xr:uid="{00000000-0005-0000-0000-00004D000000}"/>
    <cellStyle name="Normal 43 2" xfId="79" xr:uid="{00000000-0005-0000-0000-00004E000000}"/>
    <cellStyle name="Normal 44" xfId="80" xr:uid="{00000000-0005-0000-0000-00004F000000}"/>
    <cellStyle name="Normal 44 2" xfId="81" xr:uid="{00000000-0005-0000-0000-000050000000}"/>
    <cellStyle name="Normal 45" xfId="82" xr:uid="{00000000-0005-0000-0000-000051000000}"/>
    <cellStyle name="Normal 45 2" xfId="83" xr:uid="{00000000-0005-0000-0000-000052000000}"/>
    <cellStyle name="Normal 46" xfId="84" xr:uid="{00000000-0005-0000-0000-000053000000}"/>
    <cellStyle name="Normal 46 2" xfId="85" xr:uid="{00000000-0005-0000-0000-000054000000}"/>
    <cellStyle name="Normal 47" xfId="86" xr:uid="{00000000-0005-0000-0000-000055000000}"/>
    <cellStyle name="Normal 47 2" xfId="87" xr:uid="{00000000-0005-0000-0000-000056000000}"/>
    <cellStyle name="Normal 48" xfId="88" xr:uid="{00000000-0005-0000-0000-000057000000}"/>
    <cellStyle name="Normal 48 2" xfId="89" xr:uid="{00000000-0005-0000-0000-000058000000}"/>
    <cellStyle name="Normal 49" xfId="90" xr:uid="{00000000-0005-0000-0000-000059000000}"/>
    <cellStyle name="Normal 49 2" xfId="91" xr:uid="{00000000-0005-0000-0000-00005A000000}"/>
    <cellStyle name="Normal 5" xfId="92" xr:uid="{00000000-0005-0000-0000-00005B000000}"/>
    <cellStyle name="Normal 5 2" xfId="93" xr:uid="{00000000-0005-0000-0000-00005C000000}"/>
    <cellStyle name="Normal 5 3" xfId="94" xr:uid="{00000000-0005-0000-0000-00005D000000}"/>
    <cellStyle name="Normal 5 3 2" xfId="95" xr:uid="{00000000-0005-0000-0000-00005E000000}"/>
    <cellStyle name="Normal 5 4" xfId="96" xr:uid="{00000000-0005-0000-0000-00005F000000}"/>
    <cellStyle name="Normal 5 4 2" xfId="97" xr:uid="{00000000-0005-0000-0000-000060000000}"/>
    <cellStyle name="Normal 5 5" xfId="98" xr:uid="{00000000-0005-0000-0000-000061000000}"/>
    <cellStyle name="Normal 5 5 2" xfId="99" xr:uid="{00000000-0005-0000-0000-000062000000}"/>
    <cellStyle name="Normal 5 6" xfId="100" xr:uid="{00000000-0005-0000-0000-000063000000}"/>
    <cellStyle name="Normal 5 7" xfId="101" xr:uid="{00000000-0005-0000-0000-000064000000}"/>
    <cellStyle name="Normal 50" xfId="102" xr:uid="{00000000-0005-0000-0000-000065000000}"/>
    <cellStyle name="Normal 50 2" xfId="103" xr:uid="{00000000-0005-0000-0000-000066000000}"/>
    <cellStyle name="Normal 51" xfId="104" xr:uid="{00000000-0005-0000-0000-000067000000}"/>
    <cellStyle name="Normal 51 2" xfId="105" xr:uid="{00000000-0005-0000-0000-000068000000}"/>
    <cellStyle name="Normal 52" xfId="106" xr:uid="{00000000-0005-0000-0000-000069000000}"/>
    <cellStyle name="Normal 52 2" xfId="107" xr:uid="{00000000-0005-0000-0000-00006A000000}"/>
    <cellStyle name="Normal 53" xfId="108" xr:uid="{00000000-0005-0000-0000-00006B000000}"/>
    <cellStyle name="Normal 53 2" xfId="109" xr:uid="{00000000-0005-0000-0000-00006C000000}"/>
    <cellStyle name="Normal 54" xfId="110" xr:uid="{00000000-0005-0000-0000-00006D000000}"/>
    <cellStyle name="Normal 54 2" xfId="111" xr:uid="{00000000-0005-0000-0000-00006E000000}"/>
    <cellStyle name="Normal 55" xfId="112" xr:uid="{00000000-0005-0000-0000-00006F000000}"/>
    <cellStyle name="Normal 55 2" xfId="113" xr:uid="{00000000-0005-0000-0000-000070000000}"/>
    <cellStyle name="Normal 56" xfId="114" xr:uid="{00000000-0005-0000-0000-000071000000}"/>
    <cellStyle name="Normal 56 2" xfId="115" xr:uid="{00000000-0005-0000-0000-000072000000}"/>
    <cellStyle name="Normal 57" xfId="116" xr:uid="{00000000-0005-0000-0000-000073000000}"/>
    <cellStyle name="Normal 57 2" xfId="117" xr:uid="{00000000-0005-0000-0000-000074000000}"/>
    <cellStyle name="Normal 58" xfId="118" xr:uid="{00000000-0005-0000-0000-000075000000}"/>
    <cellStyle name="Normal 58 2" xfId="119" xr:uid="{00000000-0005-0000-0000-000076000000}"/>
    <cellStyle name="Normal 59" xfId="120" xr:uid="{00000000-0005-0000-0000-000077000000}"/>
    <cellStyle name="Normal 59 2" xfId="121" xr:uid="{00000000-0005-0000-0000-000078000000}"/>
    <cellStyle name="Normal 6" xfId="122" xr:uid="{00000000-0005-0000-0000-000079000000}"/>
    <cellStyle name="Normal 6 2" xfId="123" xr:uid="{00000000-0005-0000-0000-00007A000000}"/>
    <cellStyle name="Normal 60" xfId="124" xr:uid="{00000000-0005-0000-0000-00007B000000}"/>
    <cellStyle name="Normal 60 2" xfId="125" xr:uid="{00000000-0005-0000-0000-00007C000000}"/>
    <cellStyle name="Normal 61" xfId="126" xr:uid="{00000000-0005-0000-0000-00007D000000}"/>
    <cellStyle name="Normal 61 2" xfId="127" xr:uid="{00000000-0005-0000-0000-00007E000000}"/>
    <cellStyle name="Normal 62" xfId="128" xr:uid="{00000000-0005-0000-0000-00007F000000}"/>
    <cellStyle name="Normal 62 2" xfId="129" xr:uid="{00000000-0005-0000-0000-000080000000}"/>
    <cellStyle name="Normal 63" xfId="130" xr:uid="{00000000-0005-0000-0000-000081000000}"/>
    <cellStyle name="Normal 63 2" xfId="131" xr:uid="{00000000-0005-0000-0000-000082000000}"/>
    <cellStyle name="Normal 64" xfId="132" xr:uid="{00000000-0005-0000-0000-000083000000}"/>
    <cellStyle name="Normal 64 2" xfId="133" xr:uid="{00000000-0005-0000-0000-000084000000}"/>
    <cellStyle name="Normal 65" xfId="134" xr:uid="{00000000-0005-0000-0000-000085000000}"/>
    <cellStyle name="Normal 65 2" xfId="135" xr:uid="{00000000-0005-0000-0000-000086000000}"/>
    <cellStyle name="Normal 66" xfId="136" xr:uid="{00000000-0005-0000-0000-000087000000}"/>
    <cellStyle name="Normal 66 2" xfId="137" xr:uid="{00000000-0005-0000-0000-000088000000}"/>
    <cellStyle name="Normal 67" xfId="138" xr:uid="{00000000-0005-0000-0000-000089000000}"/>
    <cellStyle name="Normal 67 2" xfId="139" xr:uid="{00000000-0005-0000-0000-00008A000000}"/>
    <cellStyle name="Normal 68" xfId="140" xr:uid="{00000000-0005-0000-0000-00008B000000}"/>
    <cellStyle name="Normal 68 2" xfId="141" xr:uid="{00000000-0005-0000-0000-00008C000000}"/>
    <cellStyle name="Normal 69" xfId="142" xr:uid="{00000000-0005-0000-0000-00008D000000}"/>
    <cellStyle name="Normal 69 2" xfId="143" xr:uid="{00000000-0005-0000-0000-00008E000000}"/>
    <cellStyle name="Normal 7" xfId="144" xr:uid="{00000000-0005-0000-0000-00008F000000}"/>
    <cellStyle name="Normal 7 2" xfId="145" xr:uid="{00000000-0005-0000-0000-000090000000}"/>
    <cellStyle name="Normal 70" xfId="146" xr:uid="{00000000-0005-0000-0000-000091000000}"/>
    <cellStyle name="Normal 70 2" xfId="147" xr:uid="{00000000-0005-0000-0000-000092000000}"/>
    <cellStyle name="Normal 71" xfId="148" xr:uid="{00000000-0005-0000-0000-000093000000}"/>
    <cellStyle name="Normal 71 2" xfId="149" xr:uid="{00000000-0005-0000-0000-000094000000}"/>
    <cellStyle name="Normal 72" xfId="150" xr:uid="{00000000-0005-0000-0000-000095000000}"/>
    <cellStyle name="Normal 72 2" xfId="151" xr:uid="{00000000-0005-0000-0000-000096000000}"/>
    <cellStyle name="Normal 73" xfId="152" xr:uid="{00000000-0005-0000-0000-000097000000}"/>
    <cellStyle name="Normal 73 2" xfId="153" xr:uid="{00000000-0005-0000-0000-000098000000}"/>
    <cellStyle name="Normal 74" xfId="154" xr:uid="{00000000-0005-0000-0000-000099000000}"/>
    <cellStyle name="Normal 74 2" xfId="155" xr:uid="{00000000-0005-0000-0000-00009A000000}"/>
    <cellStyle name="Normal 75" xfId="156" xr:uid="{00000000-0005-0000-0000-00009B000000}"/>
    <cellStyle name="Normal 75 2" xfId="157" xr:uid="{00000000-0005-0000-0000-00009C000000}"/>
    <cellStyle name="Normal 76" xfId="158" xr:uid="{00000000-0005-0000-0000-00009D000000}"/>
    <cellStyle name="Normal 76 2" xfId="159" xr:uid="{00000000-0005-0000-0000-00009E000000}"/>
    <cellStyle name="Normal 77" xfId="160" xr:uid="{00000000-0005-0000-0000-00009F000000}"/>
    <cellStyle name="Normal 77 2" xfId="161" xr:uid="{00000000-0005-0000-0000-0000A0000000}"/>
    <cellStyle name="Normal 78" xfId="162" xr:uid="{00000000-0005-0000-0000-0000A1000000}"/>
    <cellStyle name="Normal 78 2" xfId="163" xr:uid="{00000000-0005-0000-0000-0000A2000000}"/>
    <cellStyle name="Normal 79" xfId="164" xr:uid="{00000000-0005-0000-0000-0000A3000000}"/>
    <cellStyle name="Normal 79 2" xfId="165" xr:uid="{00000000-0005-0000-0000-0000A4000000}"/>
    <cellStyle name="Normal 8" xfId="166" xr:uid="{00000000-0005-0000-0000-0000A5000000}"/>
    <cellStyle name="Normal 8 2" xfId="167" xr:uid="{00000000-0005-0000-0000-0000A6000000}"/>
    <cellStyle name="Normal 80" xfId="168" xr:uid="{00000000-0005-0000-0000-0000A7000000}"/>
    <cellStyle name="Normal 80 2" xfId="169" xr:uid="{00000000-0005-0000-0000-0000A8000000}"/>
    <cellStyle name="Normal 81" xfId="170" xr:uid="{00000000-0005-0000-0000-0000A9000000}"/>
    <cellStyle name="Normal 81 2" xfId="171" xr:uid="{00000000-0005-0000-0000-0000AA000000}"/>
    <cellStyle name="Normal 82" xfId="172" xr:uid="{00000000-0005-0000-0000-0000AB000000}"/>
    <cellStyle name="Normal 82 2" xfId="173" xr:uid="{00000000-0005-0000-0000-0000AC000000}"/>
    <cellStyle name="Normal 83" xfId="174" xr:uid="{00000000-0005-0000-0000-0000AD000000}"/>
    <cellStyle name="Normal 83 2" xfId="175" xr:uid="{00000000-0005-0000-0000-0000AE000000}"/>
    <cellStyle name="Normal 84" xfId="176" xr:uid="{00000000-0005-0000-0000-0000AF000000}"/>
    <cellStyle name="Normal 84 2" xfId="177" xr:uid="{00000000-0005-0000-0000-0000B0000000}"/>
    <cellStyle name="Normal 85" xfId="178" xr:uid="{00000000-0005-0000-0000-0000B1000000}"/>
    <cellStyle name="Normal 85 2" xfId="179" xr:uid="{00000000-0005-0000-0000-0000B2000000}"/>
    <cellStyle name="Normal 86" xfId="180" xr:uid="{00000000-0005-0000-0000-0000B3000000}"/>
    <cellStyle name="Normal 86 2" xfId="181" xr:uid="{00000000-0005-0000-0000-0000B4000000}"/>
    <cellStyle name="Normal 87" xfId="182" xr:uid="{00000000-0005-0000-0000-0000B5000000}"/>
    <cellStyle name="Normal 87 2" xfId="183" xr:uid="{00000000-0005-0000-0000-0000B6000000}"/>
    <cellStyle name="Normal 88" xfId="184" xr:uid="{00000000-0005-0000-0000-0000B7000000}"/>
    <cellStyle name="Normal 88 2" xfId="185" xr:uid="{00000000-0005-0000-0000-0000B8000000}"/>
    <cellStyle name="Normal 89" xfId="186" xr:uid="{00000000-0005-0000-0000-0000B9000000}"/>
    <cellStyle name="Normal 89 2" xfId="187" xr:uid="{00000000-0005-0000-0000-0000BA000000}"/>
    <cellStyle name="Normal 9" xfId="188" xr:uid="{00000000-0005-0000-0000-0000BB000000}"/>
    <cellStyle name="Normal 9 2" xfId="189" xr:uid="{00000000-0005-0000-0000-0000BC000000}"/>
    <cellStyle name="Normal 90" xfId="190" xr:uid="{00000000-0005-0000-0000-0000BD000000}"/>
    <cellStyle name="Normal 91" xfId="191" xr:uid="{00000000-0005-0000-0000-0000BE000000}"/>
    <cellStyle name="Normal 91 2" xfId="192" xr:uid="{00000000-0005-0000-0000-0000BF000000}"/>
    <cellStyle name="Normal 92" xfId="193" xr:uid="{00000000-0005-0000-0000-0000C0000000}"/>
    <cellStyle name="Percent 2" xfId="194" xr:uid="{00000000-0005-0000-0000-0000C1000000}"/>
    <cellStyle name="常规" xfId="0" builtinId="0"/>
    <cellStyle name="常规 2" xfId="195" xr:uid="{00000000-0005-0000-0000-0000C3000000}"/>
    <cellStyle name="常规 2 2" xfId="196" xr:uid="{00000000-0005-0000-0000-0000C4000000}"/>
    <cellStyle name="常规 2 3" xfId="197" xr:uid="{00000000-0005-0000-0000-0000C5000000}"/>
    <cellStyle name="常规 2 4" xfId="198" xr:uid="{00000000-0005-0000-0000-0000C6000000}"/>
    <cellStyle name="常规 9" xfId="199" xr:uid="{00000000-0005-0000-0000-0000C7000000}"/>
    <cellStyle name="千位分隔 3" xfId="200" xr:uid="{00000000-0005-0000-0000-0000C8000000}"/>
    <cellStyle name="千位分隔 3 2" xfId="201" xr:uid="{00000000-0005-0000-0000-0000C9000000}"/>
    <cellStyle name="千位分隔 3 2 2" xfId="202" xr:uid="{00000000-0005-0000-0000-0000CA000000}"/>
    <cellStyle name="千位分隔 3 2 2 2" xfId="203" xr:uid="{00000000-0005-0000-0000-0000CB000000}"/>
    <cellStyle name="千位分隔 3 2 3" xfId="204" xr:uid="{00000000-0005-0000-0000-0000CC000000}"/>
    <cellStyle name="千位分隔 3 3" xfId="205" xr:uid="{00000000-0005-0000-0000-0000CD000000}"/>
    <cellStyle name="千位分隔 3 3 2" xfId="206" xr:uid="{00000000-0005-0000-0000-0000CE000000}"/>
    <cellStyle name="千位分隔 3 3 2 2" xfId="207" xr:uid="{00000000-0005-0000-0000-0000CF000000}"/>
    <cellStyle name="千位分隔 3 3 3" xfId="208" xr:uid="{00000000-0005-0000-0000-0000D0000000}"/>
  </cellStyles>
  <dxfs count="2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1</xdr:row>
      <xdr:rowOff>66675</xdr:rowOff>
    </xdr:from>
    <xdr:to>
      <xdr:col>6</xdr:col>
      <xdr:colOff>352425</xdr:colOff>
      <xdr:row>3</xdr:row>
      <xdr:rowOff>152400</xdr:rowOff>
    </xdr:to>
    <xdr:pic>
      <xdr:nvPicPr>
        <xdr:cNvPr id="572799" name="图片 21">
          <a:extLst>
            <a:ext uri="{FF2B5EF4-FFF2-40B4-BE49-F238E27FC236}">
              <a16:creationId xmlns:a16="http://schemas.microsoft.com/office/drawing/2014/main" id="{3C4CCDDA-D58B-45A9-A471-3DBFAA4EEE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675"/>
          <a:ext cx="2000250" cy="676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4">
    <tabColor rgb="FF00B050"/>
  </sheetPr>
  <dimension ref="A1:CF7"/>
  <sheetViews>
    <sheetView tabSelected="1" zoomScale="80" zoomScaleNormal="80" zoomScaleSheetLayoutView="50" workbookViewId="0">
      <pane xSplit="13" ySplit="6" topLeftCell="N7" activePane="bottomRight" state="frozen"/>
      <selection activeCell="J16" sqref="J16"/>
      <selection pane="topRight" activeCell="J16" sqref="J16"/>
      <selection pane="bottomLeft" activeCell="J16" sqref="J16"/>
      <selection pane="bottomRight" activeCell="H36" sqref="H36"/>
    </sheetView>
  </sheetViews>
  <sheetFormatPr defaultColWidth="9.125" defaultRowHeight="12" x14ac:dyDescent="0.15"/>
  <cols>
    <col min="1" max="1" width="5.375" style="16" hidden="1" customWidth="1"/>
    <col min="2" max="2" width="5" style="16" hidden="1" customWidth="1"/>
    <col min="3" max="3" width="5.75" style="16" hidden="1" customWidth="1"/>
    <col min="4" max="4" width="9.125" style="16" hidden="1" customWidth="1"/>
    <col min="5" max="5" width="9.75" style="20" customWidth="1"/>
    <col min="6" max="6" width="11.875" style="14" bestFit="1" customWidth="1"/>
    <col min="7" max="7" width="33.25" style="20" customWidth="1"/>
    <col min="8" max="8" width="36.875" style="20" customWidth="1"/>
    <col min="9" max="9" width="15.75" style="20" customWidth="1"/>
    <col min="10" max="11" width="6.375" style="21" customWidth="1"/>
    <col min="12" max="12" width="6.125" style="22" customWidth="1"/>
    <col min="13" max="13" width="6.375" style="22" customWidth="1"/>
    <col min="14" max="14" width="3.75" style="22" customWidth="1"/>
    <col min="15" max="15" width="6.75" style="22" customWidth="1"/>
    <col min="16" max="16" width="3.75" style="22" customWidth="1"/>
    <col min="17" max="17" width="4.625" style="22" customWidth="1"/>
    <col min="18" max="18" width="5.375" style="22" customWidth="1"/>
    <col min="19" max="22" width="3.75" style="22" customWidth="1"/>
    <col min="23" max="23" width="6.75" style="22" customWidth="1"/>
    <col min="24" max="24" width="3.75" style="22" customWidth="1"/>
    <col min="25" max="25" width="4.625" style="22" customWidth="1"/>
    <col min="26" max="26" width="5.375" style="22" customWidth="1"/>
    <col min="27" max="30" width="3.75" style="22" customWidth="1"/>
    <col min="31" max="31" width="6.75" style="22" customWidth="1"/>
    <col min="32" max="32" width="3.75" style="22" customWidth="1"/>
    <col min="33" max="33" width="4.625" style="22" customWidth="1"/>
    <col min="34" max="34" width="5.375" style="22" customWidth="1"/>
    <col min="35" max="38" width="3.75" style="22" customWidth="1"/>
    <col min="39" max="39" width="6.75" style="22" customWidth="1"/>
    <col min="40" max="40" width="3.75" style="22" customWidth="1"/>
    <col min="41" max="41" width="4.625" style="22" customWidth="1"/>
    <col min="42" max="42" width="5.375" style="22" customWidth="1"/>
    <col min="43" max="46" width="3.75" style="22" customWidth="1"/>
    <col min="47" max="47" width="6.75" style="22" customWidth="1"/>
    <col min="48" max="48" width="3.75" style="22" customWidth="1"/>
    <col min="49" max="49" width="4.625" style="22" customWidth="1"/>
    <col min="50" max="50" width="5.375" style="22" customWidth="1"/>
    <col min="51" max="54" width="3.75" style="22" customWidth="1"/>
    <col min="55" max="55" width="6.75" style="22" customWidth="1"/>
    <col min="56" max="56" width="3.75" style="22" customWidth="1"/>
    <col min="57" max="57" width="4.625" style="22" customWidth="1"/>
    <col min="58" max="58" width="5.375" style="22" customWidth="1"/>
    <col min="59" max="62" width="3.75" style="22" customWidth="1"/>
    <col min="63" max="63" width="6.75" style="22" customWidth="1"/>
    <col min="64" max="64" width="3.75" style="22" customWidth="1"/>
    <col min="65" max="65" width="4.625" style="22" customWidth="1"/>
    <col min="66" max="66" width="5.375" style="22" customWidth="1"/>
    <col min="67" max="70" width="3.75" style="22" customWidth="1"/>
    <col min="71" max="71" width="6.75" style="22" customWidth="1"/>
    <col min="72" max="72" width="3.75" style="22" customWidth="1"/>
    <col min="73" max="73" width="4.625" style="22" customWidth="1"/>
    <col min="74" max="74" width="5.375" style="22" customWidth="1"/>
    <col min="75" max="77" width="3.75" style="22" customWidth="1"/>
    <col min="78" max="78" width="6.625" style="20" customWidth="1"/>
    <col min="79" max="79" width="4.625" style="20" customWidth="1"/>
    <col min="80" max="80" width="9.375" style="23" customWidth="1"/>
    <col min="81" max="81" width="34.25" style="24" bestFit="1" customWidth="1"/>
    <col min="82" max="82" width="6.75" style="21" customWidth="1"/>
    <col min="83" max="84" width="8.375" style="21" customWidth="1"/>
    <col min="85" max="92" width="9.875" style="15" bestFit="1" customWidth="1"/>
    <col min="93" max="16384" width="9.125" style="15"/>
  </cols>
  <sheetData>
    <row r="1" spans="1:84" hidden="1" x14ac:dyDescent="0.15">
      <c r="E1" s="20" t="s">
        <v>109</v>
      </c>
      <c r="F1" s="14" t="s">
        <v>110</v>
      </c>
      <c r="G1" s="20" t="s">
        <v>111</v>
      </c>
      <c r="H1" s="20" t="s">
        <v>112</v>
      </c>
      <c r="I1" s="20" t="s">
        <v>113</v>
      </c>
      <c r="J1" s="21" t="s">
        <v>114</v>
      </c>
      <c r="K1" s="21" t="s">
        <v>115</v>
      </c>
      <c r="L1" s="22" t="s">
        <v>116</v>
      </c>
      <c r="M1" s="22" t="s">
        <v>117</v>
      </c>
      <c r="N1" s="22" t="s">
        <v>118</v>
      </c>
      <c r="O1" s="22" t="s">
        <v>119</v>
      </c>
      <c r="P1" s="22" t="s">
        <v>120</v>
      </c>
      <c r="Q1" s="22" t="s">
        <v>121</v>
      </c>
      <c r="R1" s="22" t="s">
        <v>122</v>
      </c>
      <c r="S1" s="22" t="s">
        <v>123</v>
      </c>
      <c r="T1" s="22" t="s">
        <v>124</v>
      </c>
      <c r="U1" s="22" t="s">
        <v>125</v>
      </c>
      <c r="V1" s="22" t="s">
        <v>126</v>
      </c>
      <c r="W1" s="22" t="s">
        <v>127</v>
      </c>
      <c r="X1" s="22" t="s">
        <v>128</v>
      </c>
      <c r="Y1" s="22" t="s">
        <v>121</v>
      </c>
      <c r="Z1" s="22" t="s">
        <v>129</v>
      </c>
      <c r="AA1" s="22" t="s">
        <v>123</v>
      </c>
      <c r="AB1" s="22" t="s">
        <v>130</v>
      </c>
      <c r="AC1" s="22" t="s">
        <v>131</v>
      </c>
      <c r="AD1" s="22" t="s">
        <v>132</v>
      </c>
      <c r="AE1" s="22" t="s">
        <v>133</v>
      </c>
      <c r="AF1" s="22" t="s">
        <v>134</v>
      </c>
      <c r="AG1" s="22" t="s">
        <v>121</v>
      </c>
      <c r="AH1" s="22" t="s">
        <v>135</v>
      </c>
      <c r="AI1" s="22" t="s">
        <v>123</v>
      </c>
      <c r="AJ1" s="22" t="s">
        <v>136</v>
      </c>
      <c r="AK1" s="22" t="s">
        <v>137</v>
      </c>
      <c r="AL1" s="22" t="s">
        <v>138</v>
      </c>
      <c r="AM1" s="22" t="s">
        <v>139</v>
      </c>
      <c r="AN1" s="22" t="s">
        <v>140</v>
      </c>
      <c r="AO1" s="22" t="s">
        <v>121</v>
      </c>
      <c r="AP1" s="22" t="s">
        <v>141</v>
      </c>
      <c r="AQ1" s="22" t="s">
        <v>123</v>
      </c>
      <c r="AR1" s="22" t="s">
        <v>142</v>
      </c>
      <c r="AS1" s="22" t="s">
        <v>143</v>
      </c>
      <c r="AT1" s="22" t="s">
        <v>144</v>
      </c>
      <c r="AU1" s="22" t="s">
        <v>145</v>
      </c>
      <c r="AV1" s="22" t="s">
        <v>146</v>
      </c>
      <c r="AW1" s="22" t="s">
        <v>121</v>
      </c>
      <c r="AX1" s="22" t="s">
        <v>147</v>
      </c>
      <c r="AY1" s="22" t="s">
        <v>123</v>
      </c>
      <c r="AZ1" s="22" t="s">
        <v>148</v>
      </c>
      <c r="BA1" s="22" t="s">
        <v>149</v>
      </c>
      <c r="BB1" s="22" t="s">
        <v>150</v>
      </c>
      <c r="BC1" s="22" t="s">
        <v>151</v>
      </c>
      <c r="BD1" s="22" t="s">
        <v>152</v>
      </c>
      <c r="BE1" s="22" t="s">
        <v>121</v>
      </c>
      <c r="BF1" s="22" t="s">
        <v>153</v>
      </c>
      <c r="BG1" s="22" t="s">
        <v>123</v>
      </c>
      <c r="BH1" s="22" t="s">
        <v>154</v>
      </c>
      <c r="BI1" s="22" t="s">
        <v>155</v>
      </c>
      <c r="BJ1" s="22" t="s">
        <v>156</v>
      </c>
      <c r="BK1" s="22" t="s">
        <v>157</v>
      </c>
      <c r="BL1" s="22" t="s">
        <v>158</v>
      </c>
      <c r="BM1" s="22" t="s">
        <v>121</v>
      </c>
      <c r="BN1" s="22" t="s">
        <v>159</v>
      </c>
      <c r="BO1" s="22" t="s">
        <v>123</v>
      </c>
      <c r="BP1" s="22" t="s">
        <v>160</v>
      </c>
      <c r="BQ1" s="22" t="s">
        <v>161</v>
      </c>
      <c r="BR1" s="22" t="s">
        <v>162</v>
      </c>
      <c r="BS1" s="22" t="s">
        <v>163</v>
      </c>
      <c r="BT1" s="22" t="s">
        <v>164</v>
      </c>
      <c r="BU1" s="22" t="s">
        <v>121</v>
      </c>
      <c r="BV1" s="22" t="s">
        <v>165</v>
      </c>
      <c r="BW1" s="22" t="s">
        <v>123</v>
      </c>
      <c r="BX1" s="22" t="s">
        <v>166</v>
      </c>
      <c r="BY1" s="22" t="s">
        <v>167</v>
      </c>
      <c r="BZ1" s="20" t="s">
        <v>168</v>
      </c>
      <c r="CA1" s="20" t="s">
        <v>169</v>
      </c>
      <c r="CB1" s="23" t="s">
        <v>170</v>
      </c>
      <c r="CC1" s="24" t="s">
        <v>171</v>
      </c>
      <c r="CD1" s="21" t="s">
        <v>172</v>
      </c>
      <c r="CE1" s="21" t="s">
        <v>170</v>
      </c>
      <c r="CF1" s="21" t="s">
        <v>173</v>
      </c>
    </row>
    <row r="2" spans="1:84" s="1" customFormat="1" ht="29.25" customHeight="1" x14ac:dyDescent="0.15">
      <c r="A2" s="1" t="e">
        <f>#REF!</f>
        <v>#REF!</v>
      </c>
      <c r="F2" s="11"/>
      <c r="G2" s="28"/>
      <c r="H2" s="64" t="s">
        <v>40</v>
      </c>
      <c r="I2" s="50"/>
      <c r="O2" s="2"/>
      <c r="AV2" s="53" t="s">
        <v>49</v>
      </c>
      <c r="BA2" s="2"/>
      <c r="CD2" s="15"/>
      <c r="CE2" s="2"/>
      <c r="CF2" s="2"/>
    </row>
    <row r="3" spans="1:84" s="29" customFormat="1" ht="17.850000000000001" customHeight="1" x14ac:dyDescent="0.15">
      <c r="A3" s="3"/>
      <c r="B3" s="3"/>
      <c r="C3" s="3"/>
      <c r="E3" s="6"/>
      <c r="F3" s="6"/>
      <c r="G3" s="6"/>
      <c r="H3" s="6"/>
      <c r="I3" s="6"/>
      <c r="J3" s="6"/>
      <c r="K3" s="6"/>
      <c r="M3" s="47" t="s">
        <v>35</v>
      </c>
      <c r="N3" s="6"/>
      <c r="O3" s="6">
        <f>SUM(O7:O108138)</f>
        <v>0</v>
      </c>
      <c r="P3" s="6"/>
      <c r="Q3" s="6"/>
      <c r="R3" s="4"/>
      <c r="S3" s="4"/>
      <c r="T3" s="4"/>
      <c r="U3" s="4"/>
      <c r="V3" s="5"/>
      <c r="W3" s="4">
        <f>SUM(W7:W108138)</f>
        <v>0</v>
      </c>
      <c r="X3" s="4"/>
      <c r="Y3" s="4"/>
      <c r="Z3" s="4"/>
      <c r="AA3" s="5"/>
      <c r="AB3" s="4"/>
      <c r="AC3" s="4"/>
      <c r="AD3" s="4"/>
      <c r="AE3" s="4" t="e">
        <f>SUM(CB7:CB108138)</f>
        <v>#VALUE!</v>
      </c>
      <c r="AF3" s="5"/>
      <c r="AG3" s="4"/>
      <c r="AH3" s="4"/>
      <c r="AI3" s="4"/>
      <c r="AJ3" s="4"/>
      <c r="AK3" s="5"/>
      <c r="AL3" s="4"/>
      <c r="AM3" s="4">
        <f>SUM(AM7:AM108138)</f>
        <v>0</v>
      </c>
      <c r="AN3" s="4"/>
      <c r="AO3" s="4"/>
      <c r="AP3" s="5"/>
      <c r="AQ3" s="4"/>
      <c r="AR3" s="4"/>
      <c r="AS3" s="4"/>
      <c r="AT3" s="4"/>
      <c r="AU3" s="5">
        <f>SUM(AU7:AU108138)</f>
        <v>0</v>
      </c>
      <c r="AV3" s="4"/>
      <c r="AW3" s="4"/>
      <c r="AX3" s="4"/>
      <c r="AY3" s="4"/>
      <c r="AZ3" s="5"/>
      <c r="BA3" s="4"/>
      <c r="BB3" s="4"/>
      <c r="BC3" s="4">
        <f>SUM(BC7:BC108138)</f>
        <v>0</v>
      </c>
      <c r="BD3" s="4"/>
      <c r="BE3" s="5"/>
      <c r="BF3" s="6"/>
      <c r="BG3" s="7"/>
      <c r="BH3" s="6"/>
      <c r="BI3" s="45"/>
      <c r="BJ3" s="46"/>
      <c r="BK3" s="4">
        <f>SUM(BK7:BK108138)</f>
        <v>0</v>
      </c>
      <c r="BS3" s="4">
        <f>SUM(BS7:BS108138)</f>
        <v>0</v>
      </c>
      <c r="BZ3" s="4">
        <f>BC3+BK3+BS3</f>
        <v>0</v>
      </c>
      <c r="CB3" s="4" t="e">
        <f>O3+W3+AE3+AM3+AU3+BC3+BK3+BS3</f>
        <v>#VALUE!</v>
      </c>
      <c r="CD3" s="48"/>
    </row>
    <row r="4" spans="1:84" s="29" customFormat="1" ht="17.850000000000001" customHeight="1" thickBot="1" x14ac:dyDescent="0.2">
      <c r="A4" s="3"/>
      <c r="B4" s="3"/>
      <c r="C4" s="3"/>
      <c r="E4" s="6"/>
      <c r="F4" s="6"/>
      <c r="G4" s="6"/>
      <c r="H4" s="6"/>
      <c r="I4" s="6"/>
      <c r="J4" s="6"/>
      <c r="K4" s="6"/>
      <c r="M4" s="47" t="s">
        <v>34</v>
      </c>
      <c r="N4" s="6"/>
      <c r="O4" s="6"/>
      <c r="P4" s="6"/>
      <c r="Q4" s="6" t="s">
        <v>174</v>
      </c>
      <c r="R4" s="4"/>
      <c r="S4" s="4"/>
      <c r="T4" s="4"/>
      <c r="U4" s="4"/>
      <c r="V4" s="5"/>
      <c r="W4" s="4"/>
      <c r="X4" s="4"/>
      <c r="Y4" s="4" t="s">
        <v>175</v>
      </c>
      <c r="Z4" s="4"/>
      <c r="AA4" s="5"/>
      <c r="AB4" s="4"/>
      <c r="AC4" s="4"/>
      <c r="AD4" s="4"/>
      <c r="AE4" s="4"/>
      <c r="AO4" s="5" t="s">
        <v>176</v>
      </c>
      <c r="AP4" s="4"/>
      <c r="AQ4" s="4"/>
      <c r="AR4" s="4"/>
      <c r="AS4" s="4"/>
      <c r="AT4" s="5"/>
      <c r="AU4" s="4"/>
      <c r="AV4" s="4"/>
      <c r="AW4" s="4" t="s">
        <v>177</v>
      </c>
      <c r="AX4" s="4"/>
      <c r="AY4" s="5"/>
      <c r="AZ4" s="4"/>
      <c r="BA4" s="4"/>
      <c r="BB4" s="4"/>
      <c r="BC4" s="4"/>
      <c r="BD4" s="5"/>
      <c r="BL4" s="4"/>
      <c r="BM4" s="4" t="s">
        <v>178</v>
      </c>
      <c r="BN4" s="4"/>
      <c r="BO4" s="4"/>
      <c r="BP4" s="5"/>
      <c r="BQ4" s="4"/>
      <c r="BR4" s="4"/>
      <c r="BS4" s="4"/>
      <c r="BT4" s="4"/>
      <c r="BU4" s="4" t="s">
        <v>179</v>
      </c>
      <c r="BW4" s="6"/>
      <c r="BZ4" s="4"/>
      <c r="CB4" s="4"/>
      <c r="CD4" s="49"/>
    </row>
    <row r="5" spans="1:84" ht="36" customHeight="1" x14ac:dyDescent="0.15">
      <c r="A5" s="27">
        <f>BC3+BK3+BS3</f>
        <v>0</v>
      </c>
      <c r="B5" s="27"/>
      <c r="C5" s="14"/>
      <c r="D5" s="26"/>
      <c r="E5" s="13" t="s">
        <v>21</v>
      </c>
      <c r="F5" s="13" t="s">
        <v>20</v>
      </c>
      <c r="G5" s="13" t="s">
        <v>14</v>
      </c>
      <c r="H5" s="13" t="s">
        <v>15</v>
      </c>
      <c r="I5" s="51" t="s">
        <v>37</v>
      </c>
      <c r="J5" s="13" t="s">
        <v>22</v>
      </c>
      <c r="K5" s="51" t="s">
        <v>38</v>
      </c>
      <c r="L5" s="52" t="s">
        <v>39</v>
      </c>
      <c r="M5" s="32" t="s">
        <v>12</v>
      </c>
      <c r="N5" s="71" t="s">
        <v>41</v>
      </c>
      <c r="O5" s="72"/>
      <c r="P5" s="72"/>
      <c r="Q5" s="72"/>
      <c r="R5" s="72"/>
      <c r="S5" s="72"/>
      <c r="T5" s="72"/>
      <c r="U5" s="73"/>
      <c r="V5" s="80" t="s">
        <v>42</v>
      </c>
      <c r="W5" s="72"/>
      <c r="X5" s="72"/>
      <c r="Y5" s="72"/>
      <c r="Z5" s="72"/>
      <c r="AA5" s="72"/>
      <c r="AB5" s="72"/>
      <c r="AC5" s="81"/>
      <c r="AD5" s="78" t="s">
        <v>43</v>
      </c>
      <c r="AE5" s="75"/>
      <c r="AF5" s="75"/>
      <c r="AG5" s="75"/>
      <c r="AH5" s="75"/>
      <c r="AI5" s="75"/>
      <c r="AJ5" s="75"/>
      <c r="AK5" s="76"/>
      <c r="AL5" s="74" t="s">
        <v>44</v>
      </c>
      <c r="AM5" s="75"/>
      <c r="AN5" s="75"/>
      <c r="AO5" s="75"/>
      <c r="AP5" s="75"/>
      <c r="AQ5" s="75"/>
      <c r="AR5" s="75"/>
      <c r="AS5" s="76"/>
      <c r="AT5" s="74" t="s">
        <v>45</v>
      </c>
      <c r="AU5" s="75"/>
      <c r="AV5" s="75"/>
      <c r="AW5" s="75"/>
      <c r="AX5" s="75"/>
      <c r="AY5" s="75"/>
      <c r="AZ5" s="75"/>
      <c r="BA5" s="77"/>
      <c r="BB5" s="67" t="s">
        <v>46</v>
      </c>
      <c r="BC5" s="68"/>
      <c r="BD5" s="68"/>
      <c r="BE5" s="68"/>
      <c r="BF5" s="68"/>
      <c r="BG5" s="68"/>
      <c r="BH5" s="68"/>
      <c r="BI5" s="69"/>
      <c r="BJ5" s="70" t="s">
        <v>47</v>
      </c>
      <c r="BK5" s="68"/>
      <c r="BL5" s="68"/>
      <c r="BM5" s="68"/>
      <c r="BN5" s="68"/>
      <c r="BO5" s="68"/>
      <c r="BP5" s="68"/>
      <c r="BQ5" s="69"/>
      <c r="BR5" s="70" t="s">
        <v>48</v>
      </c>
      <c r="BS5" s="68"/>
      <c r="BT5" s="68"/>
      <c r="BU5" s="68"/>
      <c r="BV5" s="68"/>
      <c r="BW5" s="68"/>
      <c r="BX5" s="68"/>
      <c r="BY5" s="79"/>
      <c r="BZ5" s="65" t="s">
        <v>5</v>
      </c>
      <c r="CA5" s="66"/>
      <c r="CB5" s="13" t="s">
        <v>17</v>
      </c>
      <c r="CC5" s="13" t="s">
        <v>29</v>
      </c>
      <c r="CD5" s="32" t="s">
        <v>36</v>
      </c>
      <c r="CE5" s="13" t="s">
        <v>30</v>
      </c>
      <c r="CF5" s="13" t="s">
        <v>33</v>
      </c>
    </row>
    <row r="6" spans="1:84" s="19" customFormat="1" ht="72" x14ac:dyDescent="0.15">
      <c r="A6" s="17" t="s">
        <v>1</v>
      </c>
      <c r="B6" s="17" t="s">
        <v>2</v>
      </c>
      <c r="C6" s="18" t="s">
        <v>2</v>
      </c>
      <c r="D6" s="26"/>
      <c r="E6" s="12" t="s">
        <v>16</v>
      </c>
      <c r="F6" s="12" t="s">
        <v>13</v>
      </c>
      <c r="G6" s="12" t="s">
        <v>19</v>
      </c>
      <c r="H6" s="12" t="s">
        <v>18</v>
      </c>
      <c r="I6" s="12"/>
      <c r="J6" s="12" t="s">
        <v>23</v>
      </c>
      <c r="K6" s="12" t="s">
        <v>24</v>
      </c>
      <c r="L6" s="25"/>
      <c r="M6" s="33" t="s">
        <v>25</v>
      </c>
      <c r="N6" s="34" t="s">
        <v>6</v>
      </c>
      <c r="O6" s="30" t="s">
        <v>7</v>
      </c>
      <c r="P6" s="30" t="s">
        <v>4</v>
      </c>
      <c r="Q6" s="30" t="s">
        <v>9</v>
      </c>
      <c r="R6" s="30" t="s">
        <v>8</v>
      </c>
      <c r="S6" s="31" t="s">
        <v>26</v>
      </c>
      <c r="T6" s="30" t="s">
        <v>10</v>
      </c>
      <c r="U6" s="30" t="s">
        <v>11</v>
      </c>
      <c r="V6" s="30" t="s">
        <v>6</v>
      </c>
      <c r="W6" s="30" t="s">
        <v>7</v>
      </c>
      <c r="X6" s="30" t="s">
        <v>4</v>
      </c>
      <c r="Y6" s="30" t="s">
        <v>9</v>
      </c>
      <c r="Z6" s="30" t="s">
        <v>8</v>
      </c>
      <c r="AA6" s="31" t="s">
        <v>26</v>
      </c>
      <c r="AB6" s="30" t="s">
        <v>10</v>
      </c>
      <c r="AC6" s="35" t="s">
        <v>11</v>
      </c>
      <c r="AD6" s="39" t="s">
        <v>6</v>
      </c>
      <c r="AE6" s="37" t="s">
        <v>7</v>
      </c>
      <c r="AF6" s="37" t="s">
        <v>4</v>
      </c>
      <c r="AG6" s="37" t="s">
        <v>9</v>
      </c>
      <c r="AH6" s="37" t="s">
        <v>8</v>
      </c>
      <c r="AI6" s="38" t="s">
        <v>26</v>
      </c>
      <c r="AJ6" s="37" t="s">
        <v>10</v>
      </c>
      <c r="AK6" s="37" t="s">
        <v>11</v>
      </c>
      <c r="AL6" s="37" t="s">
        <v>0</v>
      </c>
      <c r="AM6" s="37" t="s">
        <v>7</v>
      </c>
      <c r="AN6" s="37" t="s">
        <v>4</v>
      </c>
      <c r="AO6" s="37" t="s">
        <v>9</v>
      </c>
      <c r="AP6" s="37" t="s">
        <v>8</v>
      </c>
      <c r="AQ6" s="38" t="s">
        <v>26</v>
      </c>
      <c r="AR6" s="37" t="s">
        <v>10</v>
      </c>
      <c r="AS6" s="37" t="s">
        <v>11</v>
      </c>
      <c r="AT6" s="37" t="s">
        <v>6</v>
      </c>
      <c r="AU6" s="37" t="s">
        <v>7</v>
      </c>
      <c r="AV6" s="37" t="s">
        <v>4</v>
      </c>
      <c r="AW6" s="37" t="s">
        <v>9</v>
      </c>
      <c r="AX6" s="37" t="s">
        <v>8</v>
      </c>
      <c r="AY6" s="38" t="s">
        <v>26</v>
      </c>
      <c r="AZ6" s="37" t="s">
        <v>10</v>
      </c>
      <c r="BA6" s="40" t="s">
        <v>11</v>
      </c>
      <c r="BB6" s="43" t="s">
        <v>6</v>
      </c>
      <c r="BC6" s="41" t="s">
        <v>7</v>
      </c>
      <c r="BD6" s="41" t="s">
        <v>4</v>
      </c>
      <c r="BE6" s="41" t="s">
        <v>9</v>
      </c>
      <c r="BF6" s="41" t="s">
        <v>8</v>
      </c>
      <c r="BG6" s="42" t="s">
        <v>26</v>
      </c>
      <c r="BH6" s="42" t="s">
        <v>10</v>
      </c>
      <c r="BI6" s="42" t="s">
        <v>11</v>
      </c>
      <c r="BJ6" s="42" t="s">
        <v>6</v>
      </c>
      <c r="BK6" s="42" t="s">
        <v>7</v>
      </c>
      <c r="BL6" s="42" t="s">
        <v>4</v>
      </c>
      <c r="BM6" s="42" t="s">
        <v>9</v>
      </c>
      <c r="BN6" s="42" t="s">
        <v>8</v>
      </c>
      <c r="BO6" s="42" t="s">
        <v>26</v>
      </c>
      <c r="BP6" s="42" t="s">
        <v>10</v>
      </c>
      <c r="BQ6" s="42" t="s">
        <v>11</v>
      </c>
      <c r="BR6" s="42" t="s">
        <v>6</v>
      </c>
      <c r="BS6" s="42" t="s">
        <v>7</v>
      </c>
      <c r="BT6" s="42" t="s">
        <v>4</v>
      </c>
      <c r="BU6" s="42" t="s">
        <v>9</v>
      </c>
      <c r="BV6" s="42" t="s">
        <v>8</v>
      </c>
      <c r="BW6" s="42" t="s">
        <v>26</v>
      </c>
      <c r="BX6" s="42" t="s">
        <v>10</v>
      </c>
      <c r="BY6" s="44" t="s">
        <v>11</v>
      </c>
      <c r="BZ6" s="10" t="s">
        <v>3</v>
      </c>
      <c r="CA6" s="8" t="s">
        <v>4</v>
      </c>
      <c r="CB6" s="12" t="s">
        <v>27</v>
      </c>
      <c r="CC6" s="12" t="s">
        <v>28</v>
      </c>
      <c r="CD6" s="9"/>
      <c r="CE6" s="12" t="s">
        <v>31</v>
      </c>
      <c r="CF6" s="12" t="s">
        <v>32</v>
      </c>
    </row>
    <row r="7" spans="1:84" ht="48" x14ac:dyDescent="0.15">
      <c r="E7" s="54" t="s">
        <v>99</v>
      </c>
      <c r="F7" s="55" t="s">
        <v>100</v>
      </c>
      <c r="G7" s="56" t="s">
        <v>101</v>
      </c>
      <c r="H7" s="57" t="s">
        <v>102</v>
      </c>
      <c r="I7" s="57" t="s">
        <v>105</v>
      </c>
      <c r="J7" s="54" t="e">
        <f>CF7-CE7</f>
        <v>#VALUE!</v>
      </c>
      <c r="K7" s="54" t="s">
        <v>103</v>
      </c>
      <c r="L7" s="54" t="s">
        <v>107</v>
      </c>
      <c r="M7" s="58" t="s">
        <v>104</v>
      </c>
      <c r="N7" s="59" t="s">
        <v>50</v>
      </c>
      <c r="O7" s="60" t="s">
        <v>51</v>
      </c>
      <c r="P7" s="60" t="s">
        <v>52</v>
      </c>
      <c r="Q7" s="60" t="s">
        <v>180</v>
      </c>
      <c r="R7" s="60" t="s">
        <v>53</v>
      </c>
      <c r="S7" s="60" t="s">
        <v>188</v>
      </c>
      <c r="T7" s="60" t="s">
        <v>54</v>
      </c>
      <c r="U7" s="60" t="s">
        <v>55</v>
      </c>
      <c r="V7" s="60" t="s">
        <v>56</v>
      </c>
      <c r="W7" s="60" t="s">
        <v>57</v>
      </c>
      <c r="X7" s="60" t="s">
        <v>58</v>
      </c>
      <c r="Y7" s="60" t="s">
        <v>181</v>
      </c>
      <c r="Z7" s="60" t="s">
        <v>59</v>
      </c>
      <c r="AA7" s="60" t="s">
        <v>189</v>
      </c>
      <c r="AB7" s="60" t="s">
        <v>60</v>
      </c>
      <c r="AC7" s="60" t="s">
        <v>61</v>
      </c>
      <c r="AD7" s="60" t="s">
        <v>62</v>
      </c>
      <c r="AE7" s="60" t="s">
        <v>63</v>
      </c>
      <c r="AF7" s="60" t="s">
        <v>64</v>
      </c>
      <c r="AG7" s="60" t="s">
        <v>182</v>
      </c>
      <c r="AH7" s="60" t="s">
        <v>65</v>
      </c>
      <c r="AI7" s="60" t="s">
        <v>190</v>
      </c>
      <c r="AJ7" s="60" t="s">
        <v>66</v>
      </c>
      <c r="AK7" s="60" t="s">
        <v>67</v>
      </c>
      <c r="AL7" s="60" t="s">
        <v>68</v>
      </c>
      <c r="AM7" s="60" t="s">
        <v>69</v>
      </c>
      <c r="AN7" s="60" t="s">
        <v>70</v>
      </c>
      <c r="AO7" s="60" t="s">
        <v>183</v>
      </c>
      <c r="AP7" s="60" t="s">
        <v>71</v>
      </c>
      <c r="AQ7" s="60" t="s">
        <v>191</v>
      </c>
      <c r="AR7" s="60" t="s">
        <v>72</v>
      </c>
      <c r="AS7" s="60" t="s">
        <v>73</v>
      </c>
      <c r="AT7" s="60" t="s">
        <v>74</v>
      </c>
      <c r="AU7" s="60" t="s">
        <v>75</v>
      </c>
      <c r="AV7" s="60" t="s">
        <v>76</v>
      </c>
      <c r="AW7" s="60" t="s">
        <v>184</v>
      </c>
      <c r="AX7" s="60" t="s">
        <v>77</v>
      </c>
      <c r="AY7" s="60" t="s">
        <v>192</v>
      </c>
      <c r="AZ7" s="60" t="s">
        <v>78</v>
      </c>
      <c r="BA7" s="60" t="s">
        <v>79</v>
      </c>
      <c r="BB7" s="60" t="s">
        <v>80</v>
      </c>
      <c r="BC7" s="60" t="s">
        <v>81</v>
      </c>
      <c r="BD7" s="60" t="s">
        <v>82</v>
      </c>
      <c r="BE7" s="60" t="s">
        <v>185</v>
      </c>
      <c r="BF7" s="60" t="s">
        <v>83</v>
      </c>
      <c r="BG7" s="60" t="s">
        <v>193</v>
      </c>
      <c r="BH7" s="60" t="s">
        <v>84</v>
      </c>
      <c r="BI7" s="60" t="s">
        <v>85</v>
      </c>
      <c r="BJ7" s="60" t="s">
        <v>86</v>
      </c>
      <c r="BK7" s="60" t="s">
        <v>87</v>
      </c>
      <c r="BL7" s="60" t="s">
        <v>88</v>
      </c>
      <c r="BM7" s="60" t="s">
        <v>186</v>
      </c>
      <c r="BN7" s="60" t="s">
        <v>89</v>
      </c>
      <c r="BO7" s="60" t="s">
        <v>194</v>
      </c>
      <c r="BP7" s="60" t="s">
        <v>90</v>
      </c>
      <c r="BQ7" s="60" t="s">
        <v>91</v>
      </c>
      <c r="BR7" s="60" t="s">
        <v>92</v>
      </c>
      <c r="BS7" s="60" t="s">
        <v>93</v>
      </c>
      <c r="BT7" s="60" t="s">
        <v>94</v>
      </c>
      <c r="BU7" s="60" t="s">
        <v>187</v>
      </c>
      <c r="BV7" s="60" t="s">
        <v>95</v>
      </c>
      <c r="BW7" s="60" t="s">
        <v>195</v>
      </c>
      <c r="BX7" s="60" t="s">
        <v>96</v>
      </c>
      <c r="BY7" s="61" t="s">
        <v>97</v>
      </c>
      <c r="BZ7" s="62" t="e">
        <f>BC7+BK7+BS7</f>
        <v>#VALUE!</v>
      </c>
      <c r="CA7" s="63" t="e">
        <f>BL7+BT7+BD7</f>
        <v>#VALUE!</v>
      </c>
      <c r="CB7" s="63" t="e">
        <f>O7+W7+AE7+AM7+AU7+BC7+BK7+BS7</f>
        <v>#VALUE!</v>
      </c>
      <c r="CC7" s="55" t="s">
        <v>98</v>
      </c>
      <c r="CD7" s="36" t="s">
        <v>106</v>
      </c>
      <c r="CE7" s="36" t="s">
        <v>196</v>
      </c>
      <c r="CF7" s="55" t="s">
        <v>108</v>
      </c>
    </row>
  </sheetData>
  <autoFilter ref="A6:CF6" xr:uid="{00000000-0009-0000-0000-000000000000}"/>
  <mergeCells count="9">
    <mergeCell ref="BZ5:CA5"/>
    <mergeCell ref="BB5:BI5"/>
    <mergeCell ref="BJ5:BQ5"/>
    <mergeCell ref="N5:U5"/>
    <mergeCell ref="AL5:AS5"/>
    <mergeCell ref="AT5:BA5"/>
    <mergeCell ref="AD5:AK5"/>
    <mergeCell ref="BR5:BY5"/>
    <mergeCell ref="V5:AC5"/>
  </mergeCells>
  <phoneticPr fontId="32" type="noConversion"/>
  <conditionalFormatting sqref="G3:G4">
    <cfRule type="duplicateValues" dxfId="20" priority="15" stopIfTrue="1"/>
  </conditionalFormatting>
  <conditionalFormatting sqref="G3:G4">
    <cfRule type="duplicateValues" dxfId="19" priority="16" stopIfTrue="1"/>
  </conditionalFormatting>
  <conditionalFormatting sqref="G3:G4">
    <cfRule type="duplicateValues" dxfId="18" priority="17" stopIfTrue="1"/>
    <cfRule type="duplicateValues" dxfId="17" priority="18" stopIfTrue="1"/>
  </conditionalFormatting>
  <conditionalFormatting sqref="G3:G4">
    <cfRule type="duplicateValues" dxfId="16" priority="13" stopIfTrue="1"/>
    <cfRule type="duplicateValues" dxfId="15" priority="14" stopIfTrue="1"/>
  </conditionalFormatting>
  <conditionalFormatting sqref="CD5">
    <cfRule type="duplicateValues" dxfId="14" priority="1" stopIfTrue="1"/>
  </conditionalFormatting>
  <conditionalFormatting sqref="CD5">
    <cfRule type="duplicateValues" dxfId="13" priority="2" stopIfTrue="1"/>
    <cfRule type="duplicateValues" dxfId="12" priority="3" stopIfTrue="1"/>
  </conditionalFormatting>
  <conditionalFormatting sqref="H5:I6">
    <cfRule type="duplicateValues" dxfId="11" priority="24201" stopIfTrue="1"/>
  </conditionalFormatting>
  <conditionalFormatting sqref="H5:I6">
    <cfRule type="duplicateValues" dxfId="10" priority="24202" stopIfTrue="1"/>
    <cfRule type="duplicateValues" dxfId="9" priority="24203" stopIfTrue="1"/>
  </conditionalFormatting>
  <conditionalFormatting sqref="J5:K6">
    <cfRule type="duplicateValues" dxfId="8" priority="24204" stopIfTrue="1"/>
  </conditionalFormatting>
  <conditionalFormatting sqref="J5:K6">
    <cfRule type="duplicateValues" dxfId="7" priority="24205" stopIfTrue="1"/>
    <cfRule type="duplicateValues" dxfId="6" priority="24206" stopIfTrue="1"/>
  </conditionalFormatting>
  <conditionalFormatting sqref="L5:L6">
    <cfRule type="duplicateValues" dxfId="5" priority="24207" stopIfTrue="1"/>
  </conditionalFormatting>
  <conditionalFormatting sqref="L5:L6">
    <cfRule type="duplicateValues" dxfId="4" priority="24208" stopIfTrue="1"/>
    <cfRule type="duplicateValues" dxfId="3" priority="24209" stopIfTrue="1"/>
  </conditionalFormatting>
  <conditionalFormatting sqref="M5:M6">
    <cfRule type="duplicateValues" dxfId="2" priority="24210" stopIfTrue="1"/>
  </conditionalFormatting>
  <conditionalFormatting sqref="M5:M6">
    <cfRule type="duplicateValues" dxfId="1" priority="24211" stopIfTrue="1"/>
    <cfRule type="duplicateValues" dxfId="0" priority="24212" stopIfTrue="1"/>
  </conditionalFormatting>
  <dataValidations disablePrompts="1" count="1">
    <dataValidation type="list" allowBlank="1" showInputMessage="1" showErrorMessage="1" sqref="BV6 AX6 AP6 BF6 AH6 BN6 Z6 R6" xr:uid="{00000000-0002-0000-0000-000000000000}">
      <formula1>"正常,首检,试验,收尾,量试"</formula1>
    </dataValidation>
  </dataValidations>
  <pageMargins left="0.19685039370078741" right="0.19685039370078741" top="0.19685039370078741" bottom="0.19685039370078741" header="0.31496062992125984" footer="0.31496062992125984"/>
  <pageSetup paperSize="9" scale="23" orientation="landscape" r:id="rId1"/>
  <colBreaks count="1" manualBreakCount="1">
    <brk id="82" max="1048575" man="1"/>
  </colBreaks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命名范围</vt:lpstr>
      </vt:variant>
      <vt:variant>
        <vt:i4>1</vt:i4>
      </vt:variant>
    </vt:vector>
  </HeadingPairs>
  <TitlesOfParts>
    <vt:vector size="2" baseType="lpstr">
      <vt:lpstr>硫化计划主表</vt:lpstr>
      <vt:lpstr>硫化计划主表!Print_Area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XUEH</cp:lastModifiedBy>
  <cp:lastPrinted>2025-03-10T09:52:30Z</cp:lastPrinted>
  <dcterms:created xsi:type="dcterms:W3CDTF">1996-12-17T01:32:42Z</dcterms:created>
  <dcterms:modified xsi:type="dcterms:W3CDTF">2026-05-12T09:27:30Z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d7253f9e-967a-40fd-bee2-dea5c16cae08</vt:lpwstr>
  </property>
  <property fmtid="{D5CDD505-2E9C-101B-9397-08002B2CF9AE}" pid="3" name="KSOProductBuildVer">
    <vt:lpwstr>2052-11.1.0.10314</vt:lpwstr>
  </property>
</Properties>
</file>