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844" firstSheet="0" activeTab="0" autoFilterDateGrouping="1"/>
  </bookViews>
  <sheets>
    <sheet xmlns:r="http://schemas.openxmlformats.org/officeDocument/2006/relationships" name="硫化日计划" sheetId="1" state="visible" r:id="rId1"/>
    <sheet xmlns:r="http://schemas.openxmlformats.org/officeDocument/2006/relationships" name="硫化换模计划" sheetId="2" state="visible" r:id="rId2"/>
  </sheets>
  <definedNames>
    <definedName name="A">#REF!</definedName>
    <definedName name="_xlnm._FilterDatabase" localSheetId="1" hidden="1">'硫化换模计划'!$A$4:$P$5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409]m/d/yy\ h:mm\ AM/PM;@"/>
    <numFmt numFmtId="165" formatCode="yyyy/m/d;@"/>
    <numFmt numFmtId="166" formatCode="[$-10804]0;\(0\)"/>
    <numFmt numFmtId="167" formatCode="_-* #,##0.00_-;\-* #,##0.00_-;_-* &quot;-&quot;??_-;_-@_-"/>
    <numFmt numFmtId="168" formatCode="m/d;@"/>
    <numFmt numFmtId="169" formatCode="_-[$$-409]* #,##0.00_ ;_-[$$-409]* \-#,##0.00\ ;_-[$$-409]* &quot;-&quot;??_ ;_-@_ "/>
  </numFmts>
  <fonts count="24">
    <font>
      <name val="宋体"/>
      <charset val="134"/>
      <sz val="12"/>
    </font>
    <font>
      <name val="等线"/>
      <charset val="134"/>
      <family val="3"/>
      <sz val="9"/>
    </font>
    <font>
      <name val="等线"/>
      <charset val="134"/>
      <family val="3"/>
      <sz val="11"/>
    </font>
    <font>
      <name val="等线"/>
      <charset val="134"/>
      <family val="3"/>
      <sz val="10"/>
    </font>
    <font>
      <name val="等线"/>
      <charset val="134"/>
      <family val="3"/>
      <color theme="0"/>
      <sz val="9"/>
    </font>
    <font>
      <name val="等线"/>
      <charset val="134"/>
      <family val="3"/>
      <color theme="1"/>
      <sz val="9"/>
    </font>
    <font>
      <name val="等线"/>
      <charset val="134"/>
      <family val="3"/>
      <color theme="1"/>
      <sz val="10"/>
    </font>
    <font>
      <name val="等线"/>
      <charset val="134"/>
      <family val="3"/>
      <color rgb="FF000000"/>
      <sz val="9"/>
    </font>
    <font>
      <name val="等线"/>
      <charset val="134"/>
      <family val="3"/>
      <b val="1"/>
      <color theme="1"/>
      <sz val="9"/>
    </font>
    <font>
      <name val="等线"/>
      <charset val="134"/>
      <family val="3"/>
      <b val="1"/>
      <sz val="9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Arial"/>
      <family val="2"/>
      <sz val="10"/>
    </font>
    <font>
      <name val="宋体"/>
      <charset val="134"/>
      <family val="3"/>
      <sz val="11"/>
      <scheme val="minor"/>
    </font>
    <font>
      <name val="宋体"/>
      <charset val="134"/>
      <family val="3"/>
      <color indexed="8"/>
      <sz val="11"/>
      <scheme val="minor"/>
    </font>
    <font>
      <name val="Calibri"/>
      <family val="2"/>
      <color theme="0"/>
      <sz val="9"/>
    </font>
    <font>
      <name val="Times New Roman"/>
      <family val="1"/>
      <color rgb="FF000000"/>
      <sz val="9"/>
    </font>
    <font>
      <name val="Segoe UI"/>
      <family val="2"/>
      <color theme="0"/>
      <sz val="9"/>
    </font>
    <font>
      <name val="Cambria"/>
      <family val="1"/>
      <color theme="0"/>
      <sz val="9"/>
    </font>
    <font>
      <name val="Times New Roman"/>
      <family val="1"/>
      <color theme="0"/>
      <sz val="9"/>
    </font>
    <font>
      <name val="Cambria"/>
      <family val="1"/>
      <b val="1"/>
      <color theme="1"/>
      <sz val="10"/>
    </font>
    <font>
      <name val="等线"/>
      <charset val="134"/>
      <family val="3"/>
      <b val="1"/>
      <color theme="1"/>
      <sz val="10"/>
    </font>
    <font>
      <name val="宋体"/>
      <charset val="134"/>
      <family val="3"/>
      <sz val="12"/>
    </font>
    <font>
      <name val="宋体"/>
      <charset val="134"/>
      <family val="3"/>
      <sz val="9"/>
    </font>
  </fonts>
  <fills count="6">
    <fill>
      <patternFill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67" fontId="22" fillId="0" borderId="0"/>
    <xf numFmtId="0" fontId="11" fillId="0" borderId="0" applyAlignment="1">
      <alignment vertical="center"/>
    </xf>
    <xf numFmtId="0" fontId="12" fillId="0" borderId="0"/>
    <xf numFmtId="168" fontId="10" fillId="0" borderId="0"/>
    <xf numFmtId="0" fontId="13" fillId="0" borderId="0"/>
    <xf numFmtId="0" fontId="10" fillId="0" borderId="0"/>
    <xf numFmtId="169" fontId="10" fillId="0" borderId="0"/>
    <xf numFmtId="9" fontId="10" fillId="0" borderId="0" applyAlignment="1">
      <alignment vertical="center"/>
    </xf>
    <xf numFmtId="0" fontId="22" fillId="0" borderId="0" applyAlignment="1">
      <alignment vertical="center"/>
    </xf>
    <xf numFmtId="0" fontId="22" fillId="0" borderId="0"/>
    <xf numFmtId="167" fontId="14" fillId="0" borderId="0" applyAlignment="1">
      <alignment vertical="center"/>
    </xf>
    <xf numFmtId="43" fontId="14" fillId="0" borderId="0" applyAlignment="1">
      <alignment vertical="center"/>
    </xf>
  </cellStyleXfs>
  <cellXfs count="68">
    <xf numFmtId="0" fontId="0" fillId="0" borderId="0" pivotButton="0" quotePrefix="0" xfId="0"/>
    <xf numFmtId="164" fontId="1" fillId="0" borderId="0" applyAlignment="1" pivotButton="0" quotePrefix="0" xfId="10">
      <alignment horizontal="center" vertical="center"/>
    </xf>
    <xf numFmtId="164" fontId="1" fillId="0" borderId="0" applyAlignment="1" pivotButton="0" quotePrefix="0" xfId="10">
      <alignment horizontal="center" vertical="top"/>
    </xf>
    <xf numFmtId="0" fontId="1" fillId="0" borderId="0" applyAlignment="1" pivotButton="0" quotePrefix="0" xfId="10">
      <alignment horizontal="center" vertical="center"/>
    </xf>
    <xf numFmtId="14" fontId="1" fillId="0" borderId="0" applyAlignment="1" pivotButton="0" quotePrefix="0" xfId="10">
      <alignment horizontal="center" vertical="center"/>
    </xf>
    <xf numFmtId="164" fontId="1" fillId="0" borderId="0" applyAlignment="1" pivotButton="0" quotePrefix="0" xfId="10">
      <alignment horizontal="left" vertical="center"/>
    </xf>
    <xf numFmtId="0" fontId="1" fillId="0" borderId="1" applyAlignment="1" pivotButton="0" quotePrefix="0" xfId="10">
      <alignment horizontal="center" vertical="center"/>
    </xf>
    <xf numFmtId="164" fontId="2" fillId="0" borderId="1" applyAlignment="1" pivotButton="0" quotePrefix="0" xfId="10">
      <alignment vertical="center" wrapText="1"/>
    </xf>
    <xf numFmtId="164" fontId="3" fillId="0" borderId="1" applyAlignment="1" pivotButton="0" quotePrefix="0" xfId="10">
      <alignment vertical="center"/>
    </xf>
    <xf numFmtId="164" fontId="1" fillId="0" borderId="2" applyAlignment="1" pivotButton="0" quotePrefix="0" xfId="10">
      <alignment horizontal="center" vertical="center"/>
    </xf>
    <xf numFmtId="164" fontId="1" fillId="0" borderId="3" applyAlignment="1" pivotButton="0" quotePrefix="0" xfId="10">
      <alignment horizontal="center" vertical="center"/>
    </xf>
    <xf numFmtId="0" fontId="4" fillId="2" borderId="4" applyAlignment="1" pivotButton="0" quotePrefix="0" xfId="10">
      <alignment horizontal="center" vertical="top" wrapText="1"/>
    </xf>
    <xf numFmtId="0" fontId="4" fillId="2" borderId="5" applyAlignment="1" pivotButton="0" quotePrefix="0" xfId="10">
      <alignment horizontal="center" vertical="top" wrapText="1"/>
    </xf>
    <xf numFmtId="0" fontId="1" fillId="0" borderId="1" applyAlignment="1" pivotButton="0" quotePrefix="0" xfId="10">
      <alignment horizontal="center" vertical="center" wrapText="1"/>
    </xf>
    <xf numFmtId="14" fontId="1" fillId="0" borderId="1" applyAlignment="1" pivotButton="0" quotePrefix="0" xfId="10">
      <alignment horizontal="center" vertical="center" wrapText="1"/>
    </xf>
    <xf numFmtId="165" fontId="1" fillId="0" borderId="1" applyAlignment="1" pivotButton="0" quotePrefix="0" xfId="10">
      <alignment horizontal="center" vertical="center" wrapText="1"/>
    </xf>
    <xf numFmtId="0" fontId="1" fillId="0" borderId="1" applyAlignment="1" pivotButton="0" quotePrefix="0" xfId="10">
      <alignment horizontal="left"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left" vertical="center"/>
    </xf>
    <xf numFmtId="166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top" wrapText="1"/>
    </xf>
    <xf numFmtId="0" fontId="4" fillId="2" borderId="4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4" fillId="2" borderId="5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center" vertical="top" wrapText="1"/>
    </xf>
    <xf numFmtId="166" fontId="5" fillId="0" borderId="1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6" fontId="5" fillId="0" borderId="7" applyAlignment="1" pivotButton="0" quotePrefix="0" xfId="0">
      <alignment horizontal="center" vertical="center"/>
    </xf>
    <xf numFmtId="166" fontId="5" fillId="0" borderId="8" applyAlignment="1" pivotButton="0" quotePrefix="0" xfId="0">
      <alignment horizontal="center" vertical="center"/>
    </xf>
    <xf numFmtId="166" fontId="5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 vertical="top"/>
    </xf>
    <xf numFmtId="0" fontId="4" fillId="3" borderId="1" applyAlignment="1" pivotButton="0" quotePrefix="1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166" fontId="8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left" vertical="center"/>
    </xf>
    <xf numFmtId="166" fontId="5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vertical="center"/>
    </xf>
    <xf numFmtId="0" fontId="0" fillId="0" borderId="10" pivotButton="0" quotePrefix="0" xfId="0"/>
    <xf numFmtId="0" fontId="0" fillId="0" borderId="9" pivotButton="0" quotePrefix="0" xfId="0"/>
    <xf numFmtId="166" fontId="5" fillId="0" borderId="1" applyAlignment="1" pivotButton="0" quotePrefix="0" xfId="0">
      <alignment horizontal="center" vertical="center"/>
    </xf>
    <xf numFmtId="166" fontId="5" fillId="0" borderId="7" applyAlignment="1" pivotButton="0" quotePrefix="0" xfId="0">
      <alignment horizontal="center" vertical="center"/>
    </xf>
    <xf numFmtId="166" fontId="5" fillId="0" borderId="8" applyAlignment="1" pivotButton="0" quotePrefix="0" xfId="0">
      <alignment horizontal="center" vertical="center"/>
    </xf>
    <xf numFmtId="166" fontId="5" fillId="0" borderId="6" applyAlignment="1" pivotButton="0" quotePrefix="0" xfId="0">
      <alignment horizontal="center" vertical="center"/>
    </xf>
    <xf numFmtId="164" fontId="1" fillId="0" borderId="0" applyAlignment="1" pivotButton="0" quotePrefix="0" xfId="10">
      <alignment horizontal="center" vertical="center"/>
    </xf>
    <xf numFmtId="164" fontId="1" fillId="0" borderId="0" applyAlignment="1" pivotButton="0" quotePrefix="0" xfId="10">
      <alignment horizontal="left" vertical="center"/>
    </xf>
    <xf numFmtId="164" fontId="2" fillId="0" borderId="1" applyAlignment="1" pivotButton="0" quotePrefix="0" xfId="10">
      <alignment vertical="center" wrapText="1"/>
    </xf>
    <xf numFmtId="164" fontId="3" fillId="0" borderId="1" applyAlignment="1" pivotButton="0" quotePrefix="0" xfId="10">
      <alignment vertical="center"/>
    </xf>
    <xf numFmtId="164" fontId="1" fillId="0" borderId="2" applyAlignment="1" pivotButton="0" quotePrefix="0" xfId="10">
      <alignment horizontal="center" vertical="center"/>
    </xf>
    <xf numFmtId="164" fontId="1" fillId="0" borderId="3" applyAlignment="1" pivotButton="0" quotePrefix="0" xfId="10">
      <alignment horizontal="center" vertical="center"/>
    </xf>
    <xf numFmtId="164" fontId="1" fillId="0" borderId="0" applyAlignment="1" pivotButton="0" quotePrefix="0" xfId="10">
      <alignment horizontal="center" vertical="top"/>
    </xf>
    <xf numFmtId="165" fontId="1" fillId="0" borderId="1" applyAlignment="1" pivotButton="0" quotePrefix="0" xfId="10">
      <alignment horizontal="center" vertical="center" wrapText="1"/>
    </xf>
  </cellXfs>
  <cellStyles count="13">
    <cellStyle name="常规" xfId="0" builtinId="0"/>
    <cellStyle name="Comma 2" xfId="1"/>
    <cellStyle name="Excel Built-in Normal" xfId="2"/>
    <cellStyle name="Normal 10" xfId="3"/>
    <cellStyle name="Normal 12 3" xfId="4"/>
    <cellStyle name="Normal 2 2" xfId="5"/>
    <cellStyle name="Normal 20 3" xfId="6"/>
    <cellStyle name="Normal 91" xfId="7"/>
    <cellStyle name="Percent 2" xfId="8"/>
    <cellStyle name="常规 2" xfId="9"/>
    <cellStyle name="常规 2 5" xfId="10"/>
    <cellStyle name="千位分隔 3" xfId="11"/>
    <cellStyle name="千位分隔 3 3" xfId="1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>
    <from>
      <col>1</col>
      <colOff>61911</colOff>
      <row>0</row>
      <rowOff>0</rowOff>
    </from>
    <to>
      <col>3</col>
      <colOff>104775</colOff>
      <row>1</row>
      <rowOff>475426</rowOff>
    </to>
    <pic>
      <nvPicPr>
        <cNvPr id="2" name="图片 2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1595" y="0"/>
          <a:ext cx="900430" cy="4749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0</col>
      <colOff>51767</colOff>
      <row>1</row>
      <rowOff>20706</rowOff>
    </from>
    <to>
      <col>2</col>
      <colOff>279538</colOff>
      <row>1</row>
      <rowOff>407495</rowOff>
    </to>
    <pic>
      <nvPicPr>
        <cNvPr id="2" name="图片 2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51435" y="20320"/>
          <a:ext cx="1132840" cy="38671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FF00B050"/>
    <outlinePr summaryBelow="1" summaryRight="1"/>
    <pageSetUpPr/>
  </sheetPr>
  <dimension ref="A1:CD6"/>
  <sheetViews>
    <sheetView tabSelected="1" topLeftCell="A2" workbookViewId="0">
      <pane xSplit="14" ySplit="4" topLeftCell="O6" activePane="bottomRight" state="frozen"/>
      <selection activeCell="A2" sqref="A2"/>
      <selection pane="topRight" activeCell="N2" sqref="N2"/>
      <selection pane="bottomLeft" activeCell="A6" sqref="A6"/>
      <selection pane="bottomRight" activeCell="U27" sqref="U27"/>
    </sheetView>
  </sheetViews>
  <sheetFormatPr baseColWidth="8" defaultColWidth="8.75" defaultRowHeight="14.25"/>
  <cols>
    <col width="4.875" customWidth="1" min="1" max="1"/>
    <col width="5.625" customWidth="1" min="2" max="4"/>
    <col width="6.5" customWidth="1" min="5" max="5"/>
    <col width="9.625" customWidth="1" min="6" max="6"/>
    <col width="32.625" customWidth="1" min="7" max="7"/>
    <col width="18" customWidth="1" min="8" max="8"/>
    <col width="20" customWidth="1" min="9" max="9"/>
    <col width="17.125" customWidth="1" min="10" max="10"/>
    <col width="5.625" customWidth="1" min="11" max="12"/>
    <col width="6.125" customWidth="1" min="13" max="13"/>
    <col width="5.625" customWidth="1" min="14" max="14"/>
    <col width="3.125" customWidth="1" min="15" max="15"/>
    <col width="5.125" customWidth="1" min="16" max="22"/>
    <col width="3.125" customWidth="1" min="23" max="23"/>
    <col width="5.125" customWidth="1" min="24" max="30"/>
    <col width="3.125" customWidth="1" min="31" max="31"/>
    <col width="5.125" customWidth="1" min="32" max="38"/>
    <col width="3.125" customWidth="1" min="39" max="39"/>
    <col width="5.125" customWidth="1" min="40" max="46"/>
    <col width="3.125" customWidth="1" min="47" max="47"/>
    <col width="5.125" customWidth="1" min="48" max="54"/>
    <col width="3.125" customWidth="1" min="55" max="55"/>
    <col width="5.125" customWidth="1" min="56" max="62"/>
    <col width="3.125" customWidth="1" min="63" max="63"/>
    <col width="5.125" customWidth="1" min="64" max="70"/>
    <col width="3.125" customWidth="1" min="71" max="71"/>
    <col width="5.125" customWidth="1" min="72" max="78"/>
    <col width="9.625" customWidth="1" min="79" max="79"/>
    <col width="7.625" customWidth="1" min="80" max="80"/>
    <col width="9.625" customWidth="1" min="81" max="81"/>
    <col width="25.75" customWidth="1" min="82" max="82"/>
  </cols>
  <sheetData>
    <row r="1" hidden="1">
      <c r="B1" t="inlineStr">
        <is>
          <t>nightPlanQtyTotal</t>
        </is>
      </c>
      <c r="C1" t="inlineStr">
        <is>
          <t>nightFinishQtyTotal</t>
        </is>
      </c>
      <c r="D1" t="inlineStr">
        <is>
          <t>totalPlanQtyFormula</t>
        </is>
      </c>
      <c r="E1" t="inlineStr">
        <is>
          <t>lhMachineCode</t>
        </is>
      </c>
      <c r="F1" t="inlineStr">
        <is>
          <t>materialCode</t>
        </is>
      </c>
      <c r="G1" t="inlineStr">
        <is>
          <t>materialDesc</t>
        </is>
      </c>
      <c r="H1" t="inlineStr">
        <is>
          <t>embryoCode</t>
        </is>
      </c>
      <c r="I1" t="inlineStr">
        <is>
          <t>mainMaterialDesc</t>
        </is>
      </c>
      <c r="J1" t="inlineStr">
        <is>
          <t>structureName</t>
        </is>
      </c>
      <c r="K1" t="inlineStr">
        <is>
          <t>dailyPlanQty</t>
        </is>
      </c>
      <c r="L1" t="inlineStr">
        <is>
          <t>embryoStock</t>
        </is>
      </c>
      <c r="M1" t="inlineStr">
        <is>
          <t>replaceCapsuleCountLeftRight</t>
        </is>
      </c>
      <c r="N1" t="inlineStr">
        <is>
          <t>singleMouldShiftQty</t>
        </is>
      </c>
      <c r="O1" t="inlineStr">
        <is>
          <t>class1Order</t>
        </is>
      </c>
      <c r="P1" t="inlineStr">
        <is>
          <t>class1PlanQty</t>
        </is>
      </c>
      <c r="Q1" t="inlineStr">
        <is>
          <t>class1FinishQty</t>
        </is>
      </c>
      <c r="R1" t="inlineStr">
        <is>
          <t>class1LeftRightMould</t>
        </is>
      </c>
      <c r="S1" t="inlineStr">
        <is>
          <t>class1IsEnd</t>
        </is>
      </c>
      <c r="T1" t="inlineStr">
        <is>
          <t>class1LhType</t>
        </is>
      </c>
      <c r="U1" t="inlineStr">
        <is>
          <t>class1Analysis</t>
        </is>
      </c>
      <c r="V1" t="inlineStr">
        <is>
          <t>class1Dot</t>
        </is>
      </c>
      <c r="W1" t="inlineStr">
        <is>
          <t>class2Order</t>
        </is>
      </c>
      <c r="X1" t="inlineStr">
        <is>
          <t>class2PlanQty</t>
        </is>
      </c>
      <c r="Y1" t="inlineStr">
        <is>
          <t>class2FinishQty</t>
        </is>
      </c>
      <c r="Z1" t="inlineStr">
        <is>
          <t>class2LeftRightMould</t>
        </is>
      </c>
      <c r="AA1" t="inlineStr">
        <is>
          <t>class2IsEnd</t>
        </is>
      </c>
      <c r="AB1" t="inlineStr">
        <is>
          <t>class2LhType</t>
        </is>
      </c>
      <c r="AC1" t="inlineStr">
        <is>
          <t>class2Analysis</t>
        </is>
      </c>
      <c r="AD1" t="inlineStr">
        <is>
          <t>class2Dot</t>
        </is>
      </c>
      <c r="AE1" t="inlineStr">
        <is>
          <t>class3Order</t>
        </is>
      </c>
      <c r="AF1" t="inlineStr">
        <is>
          <t>class3PlanQty</t>
        </is>
      </c>
      <c r="AG1" t="inlineStr">
        <is>
          <t>class3FinishQty</t>
        </is>
      </c>
      <c r="AH1" t="inlineStr">
        <is>
          <t>class3LeftRightMould</t>
        </is>
      </c>
      <c r="AI1" t="inlineStr">
        <is>
          <t>class3IsEnd</t>
        </is>
      </c>
      <c r="AJ1" t="inlineStr">
        <is>
          <t>class3LhType</t>
        </is>
      </c>
      <c r="AK1" t="inlineStr">
        <is>
          <t>class3Analysis</t>
        </is>
      </c>
      <c r="AL1" t="inlineStr">
        <is>
          <t>class3Dot</t>
        </is>
      </c>
      <c r="AM1" t="inlineStr">
        <is>
          <t>class4Order</t>
        </is>
      </c>
      <c r="AN1" t="inlineStr">
        <is>
          <t>class4PlanQty</t>
        </is>
      </c>
      <c r="AO1" t="inlineStr">
        <is>
          <t>class4FinishQty</t>
        </is>
      </c>
      <c r="AP1" t="inlineStr">
        <is>
          <t>class4LeftRightMould</t>
        </is>
      </c>
      <c r="AQ1" t="inlineStr">
        <is>
          <t>class4IsEnd</t>
        </is>
      </c>
      <c r="AR1" t="inlineStr">
        <is>
          <t>class4LhType</t>
        </is>
      </c>
      <c r="AS1" t="inlineStr">
        <is>
          <t>class4Analysis</t>
        </is>
      </c>
      <c r="AT1" t="inlineStr">
        <is>
          <t>class4Dot</t>
        </is>
      </c>
      <c r="AU1" t="inlineStr">
        <is>
          <t>class5Order</t>
        </is>
      </c>
      <c r="AV1" t="inlineStr">
        <is>
          <t>class5PlanQty</t>
        </is>
      </c>
      <c r="AW1" t="inlineStr">
        <is>
          <t>class5FinishQty</t>
        </is>
      </c>
      <c r="AX1" t="inlineStr">
        <is>
          <t>class5LeftRightMould</t>
        </is>
      </c>
      <c r="AY1" t="inlineStr">
        <is>
          <t>class5IsEnd</t>
        </is>
      </c>
      <c r="AZ1" t="inlineStr">
        <is>
          <t>class5LhType</t>
        </is>
      </c>
      <c r="BA1" t="inlineStr">
        <is>
          <t>class5Analysis</t>
        </is>
      </c>
      <c r="BB1" t="inlineStr">
        <is>
          <t>class5Dot</t>
        </is>
      </c>
      <c r="BC1" t="inlineStr">
        <is>
          <t>class6Order</t>
        </is>
      </c>
      <c r="BD1" t="inlineStr">
        <is>
          <t>class6PlanQty</t>
        </is>
      </c>
      <c r="BE1" t="inlineStr">
        <is>
          <t>class6FinishQty</t>
        </is>
      </c>
      <c r="BF1" t="inlineStr">
        <is>
          <t>class6LeftRightMould</t>
        </is>
      </c>
      <c r="BG1" t="inlineStr">
        <is>
          <t>class6IsEnd</t>
        </is>
      </c>
      <c r="BH1" t="inlineStr">
        <is>
          <t>class6LhType</t>
        </is>
      </c>
      <c r="BI1" t="inlineStr">
        <is>
          <t>class6Analysis</t>
        </is>
      </c>
      <c r="BJ1" t="inlineStr">
        <is>
          <t>class6Dot</t>
        </is>
      </c>
      <c r="BK1" t="inlineStr">
        <is>
          <t>class7Order</t>
        </is>
      </c>
      <c r="BL1" t="inlineStr">
        <is>
          <t>class7PlanQty</t>
        </is>
      </c>
      <c r="BM1" t="inlineStr">
        <is>
          <t>class7FinishQty</t>
        </is>
      </c>
      <c r="BN1" t="inlineStr">
        <is>
          <t>class7LeftRightMould</t>
        </is>
      </c>
      <c r="BO1" t="inlineStr">
        <is>
          <t>class7IsEnd</t>
        </is>
      </c>
      <c r="BP1" t="inlineStr">
        <is>
          <t>class7LhType</t>
        </is>
      </c>
      <c r="BQ1" t="inlineStr">
        <is>
          <t>class7Analysis</t>
        </is>
      </c>
      <c r="BR1" t="inlineStr">
        <is>
          <t>class7Dot</t>
        </is>
      </c>
      <c r="BS1" t="inlineStr">
        <is>
          <t>class8Order</t>
        </is>
      </c>
      <c r="BT1" t="inlineStr">
        <is>
          <t>class8PlanQty</t>
        </is>
      </c>
      <c r="BU1" t="inlineStr">
        <is>
          <t>class8FinishQty</t>
        </is>
      </c>
      <c r="BV1" t="inlineStr">
        <is>
          <t>class8LeftRightMould</t>
        </is>
      </c>
      <c r="BW1" t="inlineStr">
        <is>
          <t>class8IsEnd</t>
        </is>
      </c>
      <c r="BX1" t="inlineStr">
        <is>
          <t>class8LhType</t>
        </is>
      </c>
      <c r="BY1" t="inlineStr">
        <is>
          <t>class8Analysis</t>
        </is>
      </c>
      <c r="BZ1" t="inlineStr">
        <is>
          <t>class8Dot</t>
        </is>
      </c>
      <c r="CA1" t="inlineStr">
        <is>
          <t>cxMachineCode</t>
        </is>
      </c>
      <c r="CB1" t="inlineStr">
        <is>
          <t>totalDailyPlanQty</t>
        </is>
      </c>
      <c r="CC1" t="inlineStr">
        <is>
          <t>todayNightFinishQty</t>
        </is>
      </c>
      <c r="CD1" t="inlineStr">
        <is>
          <t>remark</t>
        </is>
      </c>
    </row>
    <row r="2" ht="37.5" customHeight="1">
      <c r="B2" s="17" t="n"/>
      <c r="C2" s="17" t="n"/>
      <c r="D2" s="17" t="n"/>
      <c r="E2" s="42" t="inlineStr">
        <is>
          <t>{yearmonthday}全钢硫化工程生产计划单
Đơn kế hoạch sản xuất của công đoạn lưu hóa toàn thép</t>
        </is>
      </c>
      <c r="J2" s="17" t="n"/>
      <c r="K2" s="18" t="inlineStr">
        <is>
          <t xml:space="preserve"> 版本号phiên bản：{batchNo}</t>
        </is>
      </c>
      <c r="L2" s="17" t="n"/>
      <c r="M2" s="17" t="n"/>
      <c r="N2" s="17" t="n"/>
      <c r="O2" s="17" t="n"/>
      <c r="P2" s="19" t="n"/>
      <c r="Q2" s="17" t="n"/>
      <c r="R2" s="17" t="n"/>
      <c r="S2" s="17" t="n"/>
      <c r="T2" s="17" t="n"/>
      <c r="U2" s="17" t="n"/>
      <c r="V2" s="17" t="n"/>
      <c r="W2" s="17" t="n"/>
      <c r="X2" s="17" t="n"/>
      <c r="Y2" s="17" t="n"/>
      <c r="Z2" s="17" t="n"/>
      <c r="AA2" s="17" t="n"/>
      <c r="AB2" s="17" t="n"/>
      <c r="AC2" s="17" t="n"/>
      <c r="AD2" s="17" t="n"/>
      <c r="AE2" s="17" t="n"/>
      <c r="AF2" s="17" t="n"/>
      <c r="AG2" s="17" t="n"/>
      <c r="AH2" s="17" t="n"/>
      <c r="AI2" s="17" t="n"/>
      <c r="AJ2" s="17" t="n"/>
      <c r="AK2" s="17" t="n"/>
      <c r="AL2" s="17" t="n"/>
      <c r="AM2" s="17" t="n"/>
      <c r="AN2" s="17" t="n"/>
      <c r="AO2" s="17" t="n"/>
      <c r="AP2" s="17" t="n"/>
      <c r="AQ2" s="17" t="n"/>
      <c r="AR2" s="17" t="n"/>
      <c r="AS2" s="17" t="n"/>
      <c r="AT2" s="17" t="n"/>
      <c r="AU2" s="17" t="n"/>
      <c r="AV2" s="17" t="n"/>
      <c r="AW2" s="17" t="n"/>
      <c r="AX2" s="17" t="n"/>
      <c r="AY2" s="17" t="n"/>
      <c r="AZ2" s="17" t="n"/>
      <c r="BA2" s="17" t="n"/>
      <c r="BB2" s="19" t="n"/>
      <c r="BC2" s="17" t="n"/>
      <c r="BD2" s="17" t="n"/>
      <c r="BE2" s="17" t="n"/>
      <c r="BF2" s="17" t="n"/>
      <c r="BG2" s="17" t="n"/>
      <c r="BH2" s="17" t="n"/>
      <c r="BI2" s="17" t="n"/>
      <c r="BJ2" s="17" t="n"/>
      <c r="BK2" s="17" t="n"/>
      <c r="BL2" s="17" t="n"/>
      <c r="BM2" s="17" t="n"/>
      <c r="BN2" s="17" t="n"/>
      <c r="BO2" s="17" t="n"/>
      <c r="BP2" s="17" t="n"/>
      <c r="BQ2" s="17" t="n"/>
      <c r="BR2" s="17" t="n"/>
      <c r="BS2" s="17" t="n"/>
      <c r="BT2" s="17" t="n"/>
      <c r="BU2" s="17" t="n"/>
      <c r="BV2" s="17" t="n"/>
      <c r="BW2" s="17" t="n"/>
      <c r="BX2" s="17" t="n"/>
      <c r="BY2" s="17" t="n"/>
      <c r="BZ2" s="17" t="n"/>
      <c r="CA2" s="17" t="n"/>
      <c r="CB2" s="19" t="n"/>
      <c r="CC2" s="19" t="n"/>
      <c r="CD2" s="17" t="n"/>
    </row>
    <row r="3" ht="16.9" customHeight="1">
      <c r="B3" s="49">
        <f>SUM(B6:B108139)</f>
        <v/>
      </c>
      <c r="C3" s="21" t="n"/>
      <c r="D3" s="49">
        <f>SUM(D6:D108139)</f>
        <v/>
      </c>
      <c r="E3" s="49" t="n"/>
      <c r="F3" s="49" t="n"/>
      <c r="G3" s="49" t="n"/>
      <c r="H3" s="49" t="n"/>
      <c r="I3" s="49" t="n"/>
      <c r="J3" s="49" t="n"/>
      <c r="K3" s="50" t="n"/>
      <c r="L3" s="51" t="inlineStr">
        <is>
          <t>班产合计
Tổng kế hoạch：</t>
        </is>
      </c>
      <c r="M3" s="21" t="n"/>
      <c r="N3" s="21" t="n"/>
      <c r="O3" s="50" t="n"/>
      <c r="P3" s="50">
        <f>SUM(P6:P108139)</f>
        <v/>
      </c>
      <c r="Q3" s="50" t="n"/>
      <c r="R3" s="50" t="n"/>
      <c r="S3" s="49" t="n"/>
      <c r="T3" s="49" t="n"/>
      <c r="U3" s="49" t="n"/>
      <c r="V3" s="49" t="n"/>
      <c r="W3" s="52" t="n"/>
      <c r="X3" s="49">
        <f>SUM(X6:X108139)</f>
        <v/>
      </c>
      <c r="Y3" s="49" t="n"/>
      <c r="Z3" s="49" t="n"/>
      <c r="AA3" s="49" t="n"/>
      <c r="AB3" s="52" t="n"/>
      <c r="AC3" s="49" t="n"/>
      <c r="AD3" s="49" t="n"/>
      <c r="AE3" s="49" t="n"/>
      <c r="AF3" s="49">
        <f>SUM(AF6:AF108139)</f>
        <v/>
      </c>
      <c r="AG3" s="52" t="n"/>
      <c r="AH3" s="49" t="n"/>
      <c r="AI3" s="49" t="n"/>
      <c r="AJ3" s="49" t="n"/>
      <c r="AK3" s="49" t="n"/>
      <c r="AL3" s="52" t="n"/>
      <c r="AM3" s="49" t="n"/>
      <c r="AN3" s="49">
        <f>SUM(AN6:AN108139)</f>
        <v/>
      </c>
      <c r="AO3" s="49" t="n"/>
      <c r="AP3" s="49" t="n"/>
      <c r="AQ3" s="52" t="n"/>
      <c r="AR3" s="49" t="n"/>
      <c r="AS3" s="49" t="n"/>
      <c r="AT3" s="49" t="n"/>
      <c r="AU3" s="49" t="n"/>
      <c r="AV3" s="52">
        <f>SUM(AV6:AV108139)</f>
        <v/>
      </c>
      <c r="AW3" s="49" t="n"/>
      <c r="AX3" s="49" t="n"/>
      <c r="AY3" s="49" t="n"/>
      <c r="AZ3" s="49" t="n"/>
      <c r="BA3" s="52" t="n"/>
      <c r="BB3" s="49" t="n"/>
      <c r="BC3" s="49" t="n"/>
      <c r="BD3" s="49">
        <f>SUM(BD6:BD108139)</f>
        <v/>
      </c>
      <c r="BE3" s="49" t="n"/>
      <c r="BF3" s="52" t="n"/>
      <c r="BG3" s="50" t="n"/>
      <c r="BH3" s="50" t="n"/>
      <c r="BI3" s="50" t="n"/>
      <c r="BJ3" s="21" t="n"/>
      <c r="BK3" s="25" t="n"/>
      <c r="BL3" s="49">
        <f>SUM(BL6:BL108139)</f>
        <v/>
      </c>
      <c r="BM3" s="21" t="n"/>
      <c r="BN3" s="21" t="n"/>
      <c r="BO3" s="21" t="n"/>
      <c r="BP3" s="21" t="n"/>
      <c r="BQ3" s="21" t="n"/>
      <c r="BR3" s="21" t="n"/>
      <c r="BS3" s="21" t="n"/>
      <c r="BT3" s="49">
        <f>SUM(BT6:BT108139)</f>
        <v/>
      </c>
      <c r="BU3" s="21" t="n"/>
      <c r="BV3" s="21" t="n"/>
      <c r="BW3" s="21" t="n"/>
      <c r="BX3" s="21" t="n"/>
      <c r="BY3" s="21" t="n"/>
      <c r="BZ3" s="21" t="n"/>
      <c r="CA3" s="53" t="n"/>
      <c r="CB3" s="21" t="n"/>
      <c r="CC3" s="21" t="n"/>
      <c r="CD3" s="21" t="n"/>
    </row>
    <row r="4" ht="36" customHeight="1">
      <c r="B4" s="43" t="inlineStr">
        <is>
          <t>合计
Tổng</t>
        </is>
      </c>
      <c r="C4" s="54" t="n"/>
      <c r="D4" s="28" t="inlineStr">
        <is>
          <t xml:space="preserve">总计
</t>
        </is>
      </c>
      <c r="E4" s="28" t="inlineStr">
        <is>
          <t>*机台</t>
        </is>
      </c>
      <c r="F4" s="28" t="inlineStr">
        <is>
          <t>硫化物料号</t>
        </is>
      </c>
      <c r="G4" s="28" t="inlineStr">
        <is>
          <t xml:space="preserve">物料描述
</t>
        </is>
      </c>
      <c r="H4" s="28" t="inlineStr">
        <is>
          <t xml:space="preserve">*胎胚编码
</t>
        </is>
      </c>
      <c r="I4" s="28" t="inlineStr">
        <is>
          <t xml:space="preserve">胎胚描述
</t>
        </is>
      </c>
      <c r="J4" s="28" t="inlineStr">
        <is>
          <t>结构</t>
        </is>
      </c>
      <c r="K4" s="28" t="inlineStr">
        <is>
          <t>合计余量</t>
        </is>
      </c>
      <c r="L4" s="28" t="inlineStr">
        <is>
          <t xml:space="preserve">胎胚库存
</t>
        </is>
      </c>
      <c r="M4" s="28" t="inlineStr">
        <is>
          <t>胶囊次数L/R</t>
        </is>
      </c>
      <c r="N4" s="28" t="inlineStr">
        <is>
          <t xml:space="preserve">硫化班产
</t>
        </is>
      </c>
      <c r="O4" s="45" t="inlineStr">
        <is>
          <t>早班 Ca sáng {shiftDate1}</t>
        </is>
      </c>
      <c r="P4" s="55" t="n"/>
      <c r="Q4" s="55" t="n"/>
      <c r="R4" s="55" t="n"/>
      <c r="S4" s="55" t="n"/>
      <c r="T4" s="55" t="n"/>
      <c r="U4" s="55" t="n"/>
      <c r="V4" s="54" t="n"/>
      <c r="W4" s="45" t="inlineStr">
        <is>
          <t>中班 Ca chiều {shiftDate2}</t>
        </is>
      </c>
      <c r="X4" s="55" t="n"/>
      <c r="Y4" s="55" t="n"/>
      <c r="Z4" s="55" t="n"/>
      <c r="AA4" s="55" t="n"/>
      <c r="AB4" s="55" t="n"/>
      <c r="AC4" s="55" t="n"/>
      <c r="AD4" s="54" t="n"/>
      <c r="AE4" s="47" t="inlineStr">
        <is>
          <t>夜班 Ca đêm {shiftDate3}</t>
        </is>
      </c>
      <c r="AF4" s="55" t="n"/>
      <c r="AG4" s="55" t="n"/>
      <c r="AH4" s="55" t="n"/>
      <c r="AI4" s="55" t="n"/>
      <c r="AJ4" s="55" t="n"/>
      <c r="AK4" s="55" t="n"/>
      <c r="AL4" s="54" t="n"/>
      <c r="AM4" s="47" t="inlineStr">
        <is>
          <t>早班 Ca sáng {shiftDate4}</t>
        </is>
      </c>
      <c r="AN4" s="55" t="n"/>
      <c r="AO4" s="55" t="n"/>
      <c r="AP4" s="55" t="n"/>
      <c r="AQ4" s="55" t="n"/>
      <c r="AR4" s="55" t="n"/>
      <c r="AS4" s="55" t="n"/>
      <c r="AT4" s="54" t="n"/>
      <c r="AU4" s="47" t="inlineStr">
        <is>
          <t>中班 Ca chiều {shiftDate5}</t>
        </is>
      </c>
      <c r="AV4" s="55" t="n"/>
      <c r="AW4" s="55" t="n"/>
      <c r="AX4" s="55" t="n"/>
      <c r="AY4" s="55" t="n"/>
      <c r="AZ4" s="55" t="n"/>
      <c r="BA4" s="55" t="n"/>
      <c r="BB4" s="54" t="n"/>
      <c r="BC4" s="48" t="inlineStr">
        <is>
          <t>夜班 Ca đêm {shiftDate6}</t>
        </is>
      </c>
      <c r="BD4" s="55" t="n"/>
      <c r="BE4" s="55" t="n"/>
      <c r="BF4" s="55" t="n"/>
      <c r="BG4" s="55" t="n"/>
      <c r="BH4" s="55" t="n"/>
      <c r="BI4" s="55" t="n"/>
      <c r="BJ4" s="54" t="n"/>
      <c r="BK4" s="48" t="inlineStr">
        <is>
          <t>早班 Ca sáng {shiftDate7}</t>
        </is>
      </c>
      <c r="BL4" s="55" t="n"/>
      <c r="BM4" s="55" t="n"/>
      <c r="BN4" s="55" t="n"/>
      <c r="BO4" s="55" t="n"/>
      <c r="BP4" s="55" t="n"/>
      <c r="BQ4" s="55" t="n"/>
      <c r="BR4" s="54" t="n"/>
      <c r="BS4" s="48" t="inlineStr">
        <is>
          <t>中班 Ca chiều {shiftDate8}</t>
        </is>
      </c>
      <c r="BT4" s="55" t="n"/>
      <c r="BU4" s="55" t="n"/>
      <c r="BV4" s="55" t="n"/>
      <c r="BW4" s="55" t="n"/>
      <c r="BX4" s="55" t="n"/>
      <c r="BY4" s="55" t="n"/>
      <c r="BZ4" s="54" t="n"/>
      <c r="CA4" s="28" t="inlineStr">
        <is>
          <t>对应成型机台号</t>
        </is>
      </c>
      <c r="CB4" s="28" t="inlineStr">
        <is>
          <t xml:space="preserve">月计划订单总量
</t>
        </is>
      </c>
      <c r="CC4" s="28" t="inlineStr">
        <is>
          <t>本月硫化产量（今天夜班）</t>
        </is>
      </c>
      <c r="CD4" s="28" t="inlineStr">
        <is>
          <t xml:space="preserve">备注
</t>
        </is>
      </c>
    </row>
    <row r="5" ht="48" customHeight="1">
      <c r="B5" s="43" t="inlineStr">
        <is>
          <t>计划
Kế hoạch</t>
        </is>
      </c>
      <c r="C5" s="43" t="inlineStr">
        <is>
          <t>实际
Thực tế</t>
        </is>
      </c>
      <c r="D5" s="30" t="inlineStr">
        <is>
          <t>Tổng</t>
        </is>
      </c>
      <c r="E5" s="30" t="inlineStr">
        <is>
          <t>Máy</t>
        </is>
      </c>
      <c r="F5" s="30" t="inlineStr">
        <is>
          <t>Mã NC</t>
        </is>
      </c>
      <c r="G5" s="30" t="inlineStr">
        <is>
          <t>Quy cách lưu hóa</t>
        </is>
      </c>
      <c r="H5" s="30" t="inlineStr">
        <is>
          <t>Mã vật liệu</t>
        </is>
      </c>
      <c r="I5" s="30" t="inlineStr">
        <is>
          <t>Phôi thành hình</t>
        </is>
      </c>
      <c r="J5" s="30" t="inlineStr">
        <is>
          <t xml:space="preserve">QUY CÁCH </t>
        </is>
      </c>
      <c r="K5" s="30" t="inlineStr">
        <is>
          <t>Số còn thiếu</t>
        </is>
      </c>
      <c r="L5" s="30" t="inlineStr">
        <is>
          <t>Phôi tồn</t>
        </is>
      </c>
      <c r="M5" s="30" t="inlineStr">
        <is>
          <t>Số lần sử dụng phao L/R</t>
        </is>
      </c>
      <c r="N5" s="30" t="inlineStr">
        <is>
          <t>Lưu hóa trong ca</t>
        </is>
      </c>
      <c r="O5" s="46" t="inlineStr">
        <is>
          <t>*顺序
Stt</t>
        </is>
      </c>
      <c r="P5" s="46" t="inlineStr">
        <is>
          <t>*计划
Kế hoạch</t>
        </is>
      </c>
      <c r="Q5" s="46" t="inlineStr">
        <is>
          <t>实际
Thực tế</t>
        </is>
      </c>
      <c r="R5" s="46" t="inlineStr">
        <is>
          <t>左右模
Khuôn trái phải</t>
        </is>
      </c>
      <c r="S5" s="46" t="inlineStr">
        <is>
          <t>类型
Loại hình</t>
        </is>
      </c>
      <c r="T5" s="46" t="inlineStr">
        <is>
          <t>*示方类型
Phương thức</t>
        </is>
      </c>
      <c r="U5" s="46" t="inlineStr">
        <is>
          <t>*备注
Chú ý</t>
        </is>
      </c>
      <c r="V5" s="46" t="inlineStr">
        <is>
          <t xml:space="preserve">*DOT DOT
</t>
        </is>
      </c>
      <c r="W5" s="46" t="inlineStr">
        <is>
          <t>*顺序
Stt</t>
        </is>
      </c>
      <c r="X5" s="46" t="inlineStr">
        <is>
          <t>*计划
Kế hoạch</t>
        </is>
      </c>
      <c r="Y5" s="46" t="inlineStr">
        <is>
          <t>实际
Thực tế</t>
        </is>
      </c>
      <c r="Z5" s="46" t="inlineStr">
        <is>
          <t>左右模
Khuôn trái phải</t>
        </is>
      </c>
      <c r="AA5" s="46" t="inlineStr">
        <is>
          <t>类型
Loại hình</t>
        </is>
      </c>
      <c r="AB5" s="46" t="inlineStr">
        <is>
          <t>*示方类型
Phương thức</t>
        </is>
      </c>
      <c r="AC5" s="46" t="inlineStr">
        <is>
          <t>*备注
Chú ý</t>
        </is>
      </c>
      <c r="AD5" s="46" t="inlineStr">
        <is>
          <t xml:space="preserve">*DOT DOT
</t>
        </is>
      </c>
      <c r="AE5" s="31" t="inlineStr">
        <is>
          <t>*顺序
Stt</t>
        </is>
      </c>
      <c r="AF5" s="31" t="inlineStr">
        <is>
          <t>*计划
Kế hoạch</t>
        </is>
      </c>
      <c r="AG5" s="31" t="inlineStr">
        <is>
          <t>实际
Thực tế</t>
        </is>
      </c>
      <c r="AH5" s="31" t="inlineStr">
        <is>
          <t>左右模
Khuôn trái phải</t>
        </is>
      </c>
      <c r="AI5" s="31" t="inlineStr">
        <is>
          <t>类型
Loại hình</t>
        </is>
      </c>
      <c r="AJ5" s="31" t="inlineStr">
        <is>
          <t>*示方类型
Phương thức</t>
        </is>
      </c>
      <c r="AK5" s="31" t="inlineStr">
        <is>
          <t>*备注
Chú ý</t>
        </is>
      </c>
      <c r="AL5" s="31" t="inlineStr">
        <is>
          <t xml:space="preserve">*DOT DOT
</t>
        </is>
      </c>
      <c r="AM5" s="31" t="inlineStr">
        <is>
          <t>*顺序
Stt</t>
        </is>
      </c>
      <c r="AN5" s="31" t="inlineStr">
        <is>
          <t>*计划
Kế hoạch</t>
        </is>
      </c>
      <c r="AO5" s="31" t="inlineStr">
        <is>
          <t>实际
Thực tế</t>
        </is>
      </c>
      <c r="AP5" s="31" t="inlineStr">
        <is>
          <t>左右模
Khuôn trái phải</t>
        </is>
      </c>
      <c r="AQ5" s="31" t="inlineStr">
        <is>
          <t>类型
Loại hình</t>
        </is>
      </c>
      <c r="AR5" s="31" t="inlineStr">
        <is>
          <t>*示方类型
Phương thức</t>
        </is>
      </c>
      <c r="AS5" s="31" t="inlineStr">
        <is>
          <t>*备注
Chú ý</t>
        </is>
      </c>
      <c r="AT5" s="31" t="inlineStr">
        <is>
          <t xml:space="preserve">*DOT DOT
</t>
        </is>
      </c>
      <c r="AU5" s="31" t="inlineStr">
        <is>
          <t>*顺序
Stt</t>
        </is>
      </c>
      <c r="AV5" s="31" t="inlineStr">
        <is>
          <t>*计划
Kế hoạch</t>
        </is>
      </c>
      <c r="AW5" s="31" t="inlineStr">
        <is>
          <t>实际
Thực tế</t>
        </is>
      </c>
      <c r="AX5" s="31" t="inlineStr">
        <is>
          <t>左右模
Khuôn trái phải</t>
        </is>
      </c>
      <c r="AY5" s="31" t="inlineStr">
        <is>
          <t>类型
Loại hình</t>
        </is>
      </c>
      <c r="AZ5" s="31" t="inlineStr">
        <is>
          <t>*示方类型
Phương thức</t>
        </is>
      </c>
      <c r="BA5" s="31" t="inlineStr">
        <is>
          <t>*备注
Chú ý</t>
        </is>
      </c>
      <c r="BB5" s="31" t="inlineStr">
        <is>
          <t xml:space="preserve">*DOT DOT
</t>
        </is>
      </c>
      <c r="BC5" s="32" t="inlineStr">
        <is>
          <t>*顺序
Stt</t>
        </is>
      </c>
      <c r="BD5" s="32" t="inlineStr">
        <is>
          <t>*计划
Kế hoạch</t>
        </is>
      </c>
      <c r="BE5" s="32" t="inlineStr">
        <is>
          <t>实际
Thực tế</t>
        </is>
      </c>
      <c r="BF5" s="32" t="inlineStr">
        <is>
          <t>左右模
Khuôn trái phải</t>
        </is>
      </c>
      <c r="BG5" s="32" t="inlineStr">
        <is>
          <t>类型
Loại hình</t>
        </is>
      </c>
      <c r="BH5" s="32" t="inlineStr">
        <is>
          <t>*示方类型
Phương thức</t>
        </is>
      </c>
      <c r="BI5" s="32" t="inlineStr">
        <is>
          <t>*备注
Chú ý</t>
        </is>
      </c>
      <c r="BJ5" s="32" t="inlineStr">
        <is>
          <t xml:space="preserve">*DOT DOT
</t>
        </is>
      </c>
      <c r="BK5" s="32" t="inlineStr">
        <is>
          <t>*顺序
Stt</t>
        </is>
      </c>
      <c r="BL5" s="32" t="inlineStr">
        <is>
          <t>*计划
Kế hoạch</t>
        </is>
      </c>
      <c r="BM5" s="32" t="inlineStr">
        <is>
          <t>实际
Thực tế</t>
        </is>
      </c>
      <c r="BN5" s="32" t="inlineStr">
        <is>
          <t>左右模
Khuôn trái phải</t>
        </is>
      </c>
      <c r="BO5" s="32" t="inlineStr">
        <is>
          <t>类型
Loại hình</t>
        </is>
      </c>
      <c r="BP5" s="32" t="inlineStr">
        <is>
          <t>*示方类型
Phương thức</t>
        </is>
      </c>
      <c r="BQ5" s="32" t="inlineStr">
        <is>
          <t>*备注
Chú ý</t>
        </is>
      </c>
      <c r="BR5" s="32" t="inlineStr">
        <is>
          <t xml:space="preserve">*DOT DOT
</t>
        </is>
      </c>
      <c r="BS5" s="32" t="inlineStr">
        <is>
          <t>*顺序
Stt</t>
        </is>
      </c>
      <c r="BT5" s="32" t="inlineStr">
        <is>
          <t>*计划
Kế hoạch</t>
        </is>
      </c>
      <c r="BU5" s="32" t="inlineStr">
        <is>
          <t>实际
Thực tế</t>
        </is>
      </c>
      <c r="BV5" s="32" t="inlineStr">
        <is>
          <t>左右模
Khuôn trái phải</t>
        </is>
      </c>
      <c r="BW5" s="32" t="inlineStr">
        <is>
          <t>类型
Loại hình</t>
        </is>
      </c>
      <c r="BX5" s="32" t="inlineStr">
        <is>
          <t>*示方类型
Phương thức</t>
        </is>
      </c>
      <c r="BY5" s="32" t="inlineStr">
        <is>
          <t>*备注
Chú ý</t>
        </is>
      </c>
      <c r="BZ5" s="32" t="inlineStr">
        <is>
          <t xml:space="preserve">*DOT DOT
</t>
        </is>
      </c>
      <c r="CA5" s="30" t="inlineStr">
        <is>
          <t>Tương ứng máy TH</t>
        </is>
      </c>
      <c r="CB5" s="30" t="inlineStr">
        <is>
          <t xml:space="preserve">Đơn hàng </t>
        </is>
      </c>
      <c r="CC5" s="30" t="inlineStr">
        <is>
          <t xml:space="preserve">Sản lượng lưu hóa đạt </t>
        </is>
      </c>
      <c r="CD5" s="30" t="inlineStr">
        <is>
          <t>Ghi chú</t>
        </is>
      </c>
    </row>
    <row r="6" ht="80.09999999999999" customHeight="1">
      <c r="A6">
        <f>SUMIF($F$6:$F$233,F8,$D$6:$D$233)</f>
        <v/>
      </c>
      <c r="B6" s="56" t="inlineStr">
        <is>
          <t>{.nightPlanQtyTotal}</t>
        </is>
      </c>
      <c r="C6" s="56" t="inlineStr">
        <is>
          <t>{.nightFinishQtyTotal}</t>
        </is>
      </c>
      <c r="D6" s="56" t="inlineStr">
        <is>
          <t>{.totalPlanQtyFormula}</t>
        </is>
      </c>
      <c r="E6" s="34" t="inlineStr">
        <is>
          <t>{.lhMachineCode}</t>
        </is>
      </c>
      <c r="F6" s="35" t="inlineStr">
        <is>
          <t>{.materialCode}</t>
        </is>
      </c>
      <c r="G6" s="36" t="inlineStr">
        <is>
          <t>{.materialDesc}</t>
        </is>
      </c>
      <c r="H6" s="36" t="inlineStr">
        <is>
          <t>{.embryoCode}</t>
        </is>
      </c>
      <c r="I6" s="36" t="inlineStr">
        <is>
          <t>{.mainMaterialDesc}</t>
        </is>
      </c>
      <c r="J6" s="36" t="inlineStr">
        <is>
          <t>{.structureName}</t>
        </is>
      </c>
      <c r="K6" s="35" t="inlineStr">
        <is>
          <t>{.dailyPlanQty}</t>
        </is>
      </c>
      <c r="L6" s="37" t="inlineStr">
        <is>
          <t>{.embryoStock}</t>
        </is>
      </c>
      <c r="M6" s="37" t="inlineStr">
        <is>
          <t>{.replaceCapsuleCountLeftRight}</t>
        </is>
      </c>
      <c r="N6" s="38" t="inlineStr">
        <is>
          <t>{.singleMouldShiftQty}</t>
        </is>
      </c>
      <c r="O6" s="57" t="inlineStr">
        <is>
          <t>{.class1Order}</t>
        </is>
      </c>
      <c r="P6" s="56" t="inlineStr">
        <is>
          <t>{.class1PlanQty}</t>
        </is>
      </c>
      <c r="Q6" s="56" t="inlineStr">
        <is>
          <t>{.class1FinishQty}</t>
        </is>
      </c>
      <c r="R6" s="56" t="inlineStr">
        <is>
          <t>{.class1LeftRightMould}</t>
        </is>
      </c>
      <c r="S6" s="56" t="inlineStr">
        <is>
          <t>{.class1IsEnd}</t>
        </is>
      </c>
      <c r="T6" s="56" t="inlineStr">
        <is>
          <t>{.class1LhType}</t>
        </is>
      </c>
      <c r="U6" s="56" t="inlineStr">
        <is>
          <t>{.class1Analysis}</t>
        </is>
      </c>
      <c r="V6" s="56" t="inlineStr">
        <is>
          <t>{.class1Dot}</t>
        </is>
      </c>
      <c r="W6" s="56" t="inlineStr">
        <is>
          <t>{.class2Order}</t>
        </is>
      </c>
      <c r="X6" s="56" t="inlineStr">
        <is>
          <t>{.class2PlanQty}</t>
        </is>
      </c>
      <c r="Y6" s="56" t="inlineStr">
        <is>
          <t>{.class2FinishQty}</t>
        </is>
      </c>
      <c r="Z6" s="56" t="inlineStr">
        <is>
          <t>{.class2LeftRightMould}</t>
        </is>
      </c>
      <c r="AA6" s="56" t="inlineStr">
        <is>
          <t>{.class2IsEnd}</t>
        </is>
      </c>
      <c r="AB6" s="56" t="inlineStr">
        <is>
          <t>{.class2LhType}</t>
        </is>
      </c>
      <c r="AC6" s="56" t="inlineStr">
        <is>
          <t>{.class2Analysis}</t>
        </is>
      </c>
      <c r="AD6" s="56" t="inlineStr">
        <is>
          <t>{.class2Dot}</t>
        </is>
      </c>
      <c r="AE6" s="56" t="inlineStr">
        <is>
          <t>{.class3Order}</t>
        </is>
      </c>
      <c r="AF6" s="56" t="inlineStr">
        <is>
          <t>{.class3PlanQty}</t>
        </is>
      </c>
      <c r="AG6" s="56" t="inlineStr">
        <is>
          <t>{.class3FinishQty}</t>
        </is>
      </c>
      <c r="AH6" s="56" t="inlineStr">
        <is>
          <t>{.class3LeftRightMould}</t>
        </is>
      </c>
      <c r="AI6" s="56" t="inlineStr">
        <is>
          <t>{.class3IsEnd}</t>
        </is>
      </c>
      <c r="AJ6" s="56" t="inlineStr">
        <is>
          <t>{.class3LhType}</t>
        </is>
      </c>
      <c r="AK6" s="56" t="inlineStr">
        <is>
          <t>{.class3Analysis}</t>
        </is>
      </c>
      <c r="AL6" s="56" t="inlineStr">
        <is>
          <t>{.class3Dot}</t>
        </is>
      </c>
      <c r="AM6" s="56" t="inlineStr">
        <is>
          <t>{.class4Order}</t>
        </is>
      </c>
      <c r="AN6" s="56" t="inlineStr">
        <is>
          <t>{.class4PlanQty}</t>
        </is>
      </c>
      <c r="AO6" s="56" t="inlineStr">
        <is>
          <t>{.class4FinishQty}</t>
        </is>
      </c>
      <c r="AP6" s="56" t="inlineStr">
        <is>
          <t>{.class4LeftRightMould}</t>
        </is>
      </c>
      <c r="AQ6" s="56" t="inlineStr">
        <is>
          <t>{.class4IsEnd}</t>
        </is>
      </c>
      <c r="AR6" s="56" t="inlineStr">
        <is>
          <t>{.class4LhType}</t>
        </is>
      </c>
      <c r="AS6" s="56" t="inlineStr">
        <is>
          <t>{.class4Analysis}</t>
        </is>
      </c>
      <c r="AT6" s="56" t="inlineStr">
        <is>
          <t>{.class4Dot}</t>
        </is>
      </c>
      <c r="AU6" s="56" t="inlineStr">
        <is>
          <t>{.class5Order}</t>
        </is>
      </c>
      <c r="AV6" s="56" t="inlineStr">
        <is>
          <t>{.class5PlanQty}</t>
        </is>
      </c>
      <c r="AW6" s="56" t="inlineStr">
        <is>
          <t>{.class5FinishQty}</t>
        </is>
      </c>
      <c r="AX6" s="56" t="inlineStr">
        <is>
          <t>{.class5LeftRightMould}</t>
        </is>
      </c>
      <c r="AY6" s="56" t="inlineStr">
        <is>
          <t>{.class5IsEnd}</t>
        </is>
      </c>
      <c r="AZ6" s="56" t="inlineStr">
        <is>
          <t>{.class5LhType}</t>
        </is>
      </c>
      <c r="BA6" s="56" t="inlineStr">
        <is>
          <t>{.class5Analysis}</t>
        </is>
      </c>
      <c r="BB6" s="56" t="inlineStr">
        <is>
          <t>{.class5Dot}</t>
        </is>
      </c>
      <c r="BC6" s="56" t="inlineStr">
        <is>
          <t>{.class6Order}</t>
        </is>
      </c>
      <c r="BD6" s="56" t="inlineStr">
        <is>
          <t>{.class6PlanQty}</t>
        </is>
      </c>
      <c r="BE6" s="56" t="inlineStr">
        <is>
          <t>{.class6FinishQty}</t>
        </is>
      </c>
      <c r="BF6" s="56" t="inlineStr">
        <is>
          <t>{.class6LeftRightMould}</t>
        </is>
      </c>
      <c r="BG6" s="56" t="inlineStr">
        <is>
          <t>{.class6IsEnd}</t>
        </is>
      </c>
      <c r="BH6" s="56" t="inlineStr">
        <is>
          <t>{.class6LhType}</t>
        </is>
      </c>
      <c r="BI6" s="56" t="inlineStr">
        <is>
          <t>{.class6Analysis}</t>
        </is>
      </c>
      <c r="BJ6" s="56" t="inlineStr">
        <is>
          <t>{.class6Dot}</t>
        </is>
      </c>
      <c r="BK6" s="56" t="inlineStr">
        <is>
          <t>{.class7Order}</t>
        </is>
      </c>
      <c r="BL6" s="56" t="inlineStr">
        <is>
          <t>{.class7PlanQty}</t>
        </is>
      </c>
      <c r="BM6" s="56" t="inlineStr">
        <is>
          <t>{.class7FinishQty}</t>
        </is>
      </c>
      <c r="BN6" s="56" t="inlineStr">
        <is>
          <t>{.class7LeftRightMould}</t>
        </is>
      </c>
      <c r="BO6" s="56" t="inlineStr">
        <is>
          <t>{.class7IsEnd}</t>
        </is>
      </c>
      <c r="BP6" s="56" t="inlineStr">
        <is>
          <t>{.class7LhType}</t>
        </is>
      </c>
      <c r="BQ6" s="56" t="inlineStr">
        <is>
          <t>{.class7Analysis}</t>
        </is>
      </c>
      <c r="BR6" s="56" t="inlineStr">
        <is>
          <t>{.class7Dot}</t>
        </is>
      </c>
      <c r="BS6" s="56" t="inlineStr">
        <is>
          <t>{.class8Order}</t>
        </is>
      </c>
      <c r="BT6" s="56" t="inlineStr">
        <is>
          <t>{.class8PlanQty}</t>
        </is>
      </c>
      <c r="BU6" s="56" t="inlineStr">
        <is>
          <t>{.class8FinishQty}</t>
        </is>
      </c>
      <c r="BV6" s="56" t="inlineStr">
        <is>
          <t>{.class8LeftRightMould}</t>
        </is>
      </c>
      <c r="BW6" s="56" t="inlineStr">
        <is>
          <t>{.class8IsEnd}</t>
        </is>
      </c>
      <c r="BX6" s="56" t="inlineStr">
        <is>
          <t>{.class8LhType}</t>
        </is>
      </c>
      <c r="BY6" s="56" t="inlineStr">
        <is>
          <t>{.class8Analysis}</t>
        </is>
      </c>
      <c r="BZ6" s="58" t="inlineStr">
        <is>
          <t>{.class8Dot}</t>
        </is>
      </c>
      <c r="CA6" s="59" t="inlineStr">
        <is>
          <t>{.cxMachineCode}</t>
        </is>
      </c>
      <c r="CB6" s="59" t="inlineStr">
        <is>
          <t>{.totalDailyPlanQty}</t>
        </is>
      </c>
      <c r="CC6" s="35" t="inlineStr">
        <is>
          <t>{.todayNightFinishQty}</t>
        </is>
      </c>
      <c r="CD6" s="35" t="inlineStr">
        <is>
          <t>{.remark}</t>
        </is>
      </c>
    </row>
  </sheetData>
  <mergeCells count="10">
    <mergeCell ref="W4:AD4"/>
    <mergeCell ref="AE4:AL4"/>
    <mergeCell ref="AU4:BB4"/>
    <mergeCell ref="BK4:BR4"/>
    <mergeCell ref="B4:C4"/>
    <mergeCell ref="BC4:BJ4"/>
    <mergeCell ref="E2:I2"/>
    <mergeCell ref="BS4:BZ4"/>
    <mergeCell ref="O4:V4"/>
    <mergeCell ref="AM4:AT4"/>
  </mergeCells>
  <conditionalFormatting sqref="G3:H3">
    <cfRule type="duplicateValues" priority="1" dxfId="0" stopIfTrue="1"/>
  </conditionalFormatting>
  <dataValidations count="1">
    <dataValidation sqref="S5 AA5 AI5 AQ5 AY5 BG5 BO5 BW5" showDropDown="0" showInputMessage="1" showErrorMessage="1" allowBlank="1" type="list">
      <formula1>"正常,首检,试验,收尾,量试"</formula1>
    </dataValidation>
  </dataValidations>
  <pageMargins left="0.75" right="0.75" top="1" bottom="1" header="0.5" footer="0.5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P5"/>
  <sheetViews>
    <sheetView topLeftCell="A2" workbookViewId="0">
      <selection activeCell="I18" sqref="I18"/>
    </sheetView>
  </sheetViews>
  <sheetFormatPr baseColWidth="8" defaultColWidth="8" defaultRowHeight="12"/>
  <cols>
    <col width="3" customWidth="1" style="3" min="1" max="1"/>
    <col width="8.875" customWidth="1" style="4" min="2" max="2"/>
    <col width="5.625" customWidth="1" style="60" min="3" max="4"/>
    <col width="4.75" customWidth="1" style="60" min="5" max="5"/>
    <col width="10.25" customWidth="1" style="3" min="6" max="6"/>
    <col width="34.125" customWidth="1" style="61" min="7" max="7"/>
    <col width="10.25" customWidth="1" style="3" min="8" max="8"/>
    <col width="34.125" customWidth="1" style="61" min="9" max="9"/>
    <col width="8.75" customWidth="1" style="61" min="10" max="10"/>
    <col width="5.75" customWidth="1" style="61" min="11" max="11"/>
    <col width="5.75" customWidth="1" style="60" min="12" max="14"/>
    <col width="27.375" customWidth="1" style="60" min="15" max="15"/>
    <col width="9" customWidth="1" style="60" min="16" max="16"/>
    <col width="8" customWidth="1" style="60" min="17" max="16384"/>
  </cols>
  <sheetData>
    <row r="1" hidden="1">
      <c r="A1" s="3" t="inlineStr">
        <is>
          <t>{seq}</t>
        </is>
      </c>
      <c r="B1" s="4" t="inlineStr">
        <is>
          <t>{planDate}</t>
        </is>
      </c>
      <c r="C1" s="60" t="inlineStr">
        <is>
          <t>{classIndex}</t>
        </is>
      </c>
      <c r="D1" s="60" t="inlineStr">
        <is>
          <t>{lhMachineCode}</t>
        </is>
      </c>
      <c r="E1" s="60" t="inlineStr">
        <is>
          <t>{leftRightMould}</t>
        </is>
      </c>
      <c r="F1" s="3" t="inlineStr">
        <is>
          <t>{beforeMaterialCode}</t>
        </is>
      </c>
      <c r="G1" s="61" t="inlineStr">
        <is>
          <t>{beforeMaterialDesc}</t>
        </is>
      </c>
      <c r="H1" s="3" t="inlineStr">
        <is>
          <t>{afterMaterialCode}</t>
        </is>
      </c>
      <c r="I1" s="61" t="inlineStr">
        <is>
          <t>{afterMaterialDesc}</t>
        </is>
      </c>
      <c r="J1" s="61" t="inlineStr">
        <is>
          <t>{afterMaterialType}</t>
        </is>
      </c>
      <c r="K1" s="61" t="inlineStr">
        <is>
          <t>{changeType}</t>
        </is>
      </c>
      <c r="L1" s="60" t="inlineStr">
        <is>
          <t>{isDryIceClean}</t>
        </is>
      </c>
      <c r="M1" s="60" t="inlineStr">
        <is>
          <t>{isSandblastingClean}</t>
        </is>
      </c>
      <c r="N1" s="60" t="inlineStr">
        <is>
          <t>{isReplaceBlock}</t>
        </is>
      </c>
      <c r="O1" s="60" t="inlineStr">
        <is>
          <t>{mouldCode}</t>
        </is>
      </c>
      <c r="P1" s="60" t="inlineStr">
        <is>
          <t>{remark}</t>
        </is>
      </c>
    </row>
    <row r="2" ht="33.75" customHeight="1">
      <c r="A2" s="6" t="n"/>
      <c r="B2" s="62" t="n"/>
      <c r="C2" s="62" t="n"/>
      <c r="D2" s="62" t="n"/>
      <c r="E2" s="62" t="n"/>
      <c r="F2" s="62" t="n"/>
      <c r="G2" s="63" t="inlineStr">
        <is>
          <t>{title}</t>
        </is>
      </c>
      <c r="H2" s="62" t="n"/>
      <c r="I2" s="62" t="n"/>
      <c r="J2" s="62" t="n"/>
      <c r="K2" s="62" t="n"/>
      <c r="L2" s="62" t="n"/>
      <c r="M2" s="62" t="n"/>
      <c r="N2" s="62" t="n"/>
      <c r="O2" s="64" t="n"/>
      <c r="P2" s="65" t="n"/>
    </row>
    <row r="3" ht="34.15" customFormat="1" customHeight="1" s="66">
      <c r="A3" s="11" t="inlineStr">
        <is>
          <t xml:space="preserve">序号
</t>
        </is>
      </c>
      <c r="B3" s="11" t="inlineStr">
        <is>
          <t xml:space="preserve">计划日期
</t>
        </is>
      </c>
      <c r="C3" s="11" t="inlineStr">
        <is>
          <t xml:space="preserve">班次
</t>
        </is>
      </c>
      <c r="D3" s="11" t="inlineStr">
        <is>
          <t xml:space="preserve">机台
</t>
        </is>
      </c>
      <c r="E3" s="11" t="inlineStr">
        <is>
          <t xml:space="preserve">左右模
</t>
        </is>
      </c>
      <c r="F3" s="11" t="inlineStr">
        <is>
          <t xml:space="preserve">当前物料
</t>
        </is>
      </c>
      <c r="G3" s="11" t="inlineStr">
        <is>
          <t xml:space="preserve">物料描述
</t>
        </is>
      </c>
      <c r="H3" s="11" t="inlineStr">
        <is>
          <t xml:space="preserve">计划物料 
</t>
        </is>
      </c>
      <c r="I3" s="11" t="inlineStr">
        <is>
          <t xml:space="preserve">物料描述
</t>
        </is>
      </c>
      <c r="J3" s="11" t="inlineStr">
        <is>
          <t>示方类型</t>
        </is>
      </c>
      <c r="K3" s="11" t="inlineStr">
        <is>
          <t>按时间下机</t>
        </is>
      </c>
      <c r="L3" s="11" t="inlineStr">
        <is>
          <t>干冰清洗</t>
        </is>
      </c>
      <c r="M3" s="11" t="inlineStr">
        <is>
          <t>喷砂清洗</t>
        </is>
      </c>
      <c r="N3" s="11" t="inlineStr">
        <is>
          <t>只换活字块</t>
        </is>
      </c>
      <c r="O3" s="11" t="inlineStr">
        <is>
          <t>模具号</t>
        </is>
      </c>
      <c r="P3" s="11" t="inlineStr">
        <is>
          <t xml:space="preserve">备注
</t>
        </is>
      </c>
    </row>
    <row r="4" ht="68.25" customFormat="1" customHeight="1" s="66">
      <c r="A4" s="12" t="inlineStr">
        <is>
          <t>TT</t>
        </is>
      </c>
      <c r="B4" s="12" t="inlineStr">
        <is>
          <t>Ngày tháng</t>
        </is>
      </c>
      <c r="C4" s="12" t="inlineStr">
        <is>
          <t xml:space="preserve">Ca thay </t>
        </is>
      </c>
      <c r="D4" s="12" t="inlineStr">
        <is>
          <t>Máy</t>
        </is>
      </c>
      <c r="E4" s="12" t="inlineStr">
        <is>
          <t>Trái phải của khuôn</t>
        </is>
      </c>
      <c r="F4" s="12" t="inlineStr">
        <is>
          <t>Mã liệu kế hoạch  đang lưu hóa (trước khi thay)</t>
        </is>
      </c>
      <c r="G4" s="12" t="inlineStr">
        <is>
          <t>Mô tả vật liệu (trước khi thay)</t>
        </is>
      </c>
      <c r="H4" s="12" t="inlineStr">
        <is>
          <t>Mã liệu kế hoạch  (sau khi thay)</t>
        </is>
      </c>
      <c r="I4" s="12" t="inlineStr">
        <is>
          <t>Mô tả vật liệu (sau khi thay)</t>
        </is>
      </c>
      <c r="J4" s="12" t="inlineStr">
        <is>
          <t>Loại phương thức</t>
        </is>
      </c>
      <c r="K4" s="12" t="inlineStr">
        <is>
          <t>Xuống máy theo thời gian</t>
        </is>
      </c>
      <c r="L4" s="12" t="inlineStr">
        <is>
          <t xml:space="preserve">Vệ sinh đá </t>
        </is>
      </c>
      <c r="M4" s="12" t="inlineStr">
        <is>
          <t>Vệ sinh cát （VSC）</t>
        </is>
      </c>
      <c r="N4" s="12" t="inlineStr">
        <is>
          <t>Chỉ thay lắc</t>
        </is>
      </c>
      <c r="O4" s="12" t="inlineStr">
        <is>
          <t>Mã số khuôn （MSK）</t>
        </is>
      </c>
      <c r="P4" s="12" t="inlineStr">
        <is>
          <t>Ghi chú</t>
        </is>
      </c>
    </row>
    <row r="5" ht="11.45" customHeight="1">
      <c r="A5" s="13" t="inlineStr">
        <is>
          <t>{.seq}</t>
        </is>
      </c>
      <c r="B5" s="14" t="inlineStr">
        <is>
          <t>{.planDate}</t>
        </is>
      </c>
      <c r="C5" s="67" t="inlineStr">
        <is>
          <t>{.classIndex}</t>
        </is>
      </c>
      <c r="D5" s="13" t="inlineStr">
        <is>
          <t>{.lhMachineCode}</t>
        </is>
      </c>
      <c r="E5" s="6" t="inlineStr">
        <is>
          <t>{.leftRightMould}</t>
        </is>
      </c>
      <c r="F5" s="6" t="inlineStr">
        <is>
          <t>{.beforeMaterialCode}</t>
        </is>
      </c>
      <c r="G5" s="16" t="inlineStr">
        <is>
          <t>{.beforeMaterialDesc}</t>
        </is>
      </c>
      <c r="H5" s="13" t="inlineStr">
        <is>
          <t>{.afterMaterialCode}</t>
        </is>
      </c>
      <c r="I5" s="16" t="inlineStr">
        <is>
          <t>{.afterMaterialDesc}</t>
        </is>
      </c>
      <c r="J5" s="16" t="inlineStr">
        <is>
          <t>{.afterMaterialType}</t>
        </is>
      </c>
      <c r="K5" s="16" t="inlineStr">
        <is>
          <t>{.endType}</t>
        </is>
      </c>
      <c r="L5" s="6" t="inlineStr">
        <is>
          <t>{.isDryIceClean}</t>
        </is>
      </c>
      <c r="M5" s="6" t="inlineStr">
        <is>
          <t>{.isSandblastingClean}</t>
        </is>
      </c>
      <c r="N5" s="6" t="inlineStr">
        <is>
          <t>{.isReplaceBlock}</t>
        </is>
      </c>
      <c r="O5" s="13" t="inlineStr">
        <is>
          <t>{.mouldCode}</t>
        </is>
      </c>
      <c r="P5" s="13" t="inlineStr">
        <is>
          <t>{.remark}</t>
        </is>
      </c>
    </row>
  </sheetData>
  <autoFilter ref="A4:P5"/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1996-12-17T01:32:00Z</dcterms:created>
  <dcterms:modified xmlns:dcterms="http://purl.org/dc/terms/" xmlns:xsi="http://www.w3.org/2001/XMLSchema-instance" xsi:type="dcterms:W3CDTF">2026-08-10T10:34:20Z</dcterms:modified>
  <cp:lastModifiedBy>XUEH</cp:lastModifiedBy>
  <cp:lastPrinted>2025-03-10T09:52:00Z</cp:lastPrinted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d7253f9e-967a-40fd-bee2-dea5c16cae08</vt:lpwstr>
  </property>
  <property name="KSOProductBuildVer" fmtid="{D5CDD505-2E9C-101B-9397-08002B2CF9AE}" pid="3">
    <vt:lpwstr xmlns:vt="http://schemas.openxmlformats.org/officeDocument/2006/docPropsVTypes">2052-12.1.0.26375</vt:lpwstr>
  </property>
  <property name="ICV" fmtid="{D5CDD505-2E9C-101B-9397-08002B2CF9AE}" pid="4">
    <vt:lpwstr xmlns:vt="http://schemas.openxmlformats.org/officeDocument/2006/docPropsVTypes">A3012E52628F4C62928AD08FC7B16832_12</vt:lpwstr>
  </property>
  <property name="CalculationRule" fmtid="{D5CDD505-2E9C-101B-9397-08002B2CF9AE}" pid="5">
    <vt:i4 xmlns:vt="http://schemas.openxmlformats.org/officeDocument/2006/docPropsVTypes">0</vt:i4>
  </property>
</Properties>
</file>