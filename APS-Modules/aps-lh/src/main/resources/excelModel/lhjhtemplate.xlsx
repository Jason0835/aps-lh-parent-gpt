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7950" windowHeight="12550" tabRatio="844" activeTab="2"/>
  </bookViews>
  <sheets>
    <sheet name="硫化计划主表" sheetId="30" r:id="rId1"/>
    <sheet name="硫化换模计划" sheetId="31" r:id="rId2"/>
    <sheet name="排产小结" sheetId="32" r:id="rId3"/>
  </sheets>
  <definedNames>
    <definedName name="_xlnm._FilterDatabase" localSheetId="0" hidden="1">硫化计划主表!$A$6:$CF$7</definedName>
    <definedName name="_xlnm._FilterDatabase" localSheetId="1" hidden="1">硫化换模计划!$A$5:$P$6</definedName>
    <definedName name="A">#REF!</definedName>
    <definedName name="_xlnm.Print_Area" localSheetId="0">硫化计划主表!$E$5:$CC$6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CC5" authorId="0">
      <text>
        <r>
          <rPr>
            <b/>
            <sz val="9"/>
            <rFont val="宋体"/>
            <charset val="134"/>
          </rPr>
          <t>可编辑</t>
        </r>
      </text>
    </comment>
    <comment ref="CD5" authorId="0">
      <text>
        <r>
          <rPr>
            <b/>
            <sz val="9"/>
            <rFont val="宋体"/>
            <charset val="134"/>
          </rPr>
          <t>多台的用“，”分开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4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只换活字块如果为是，需要回填“在机模具号”</t>
        </r>
      </text>
    </comment>
    <comment ref="P4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备注栏可以编辑</t>
        </r>
      </text>
    </comment>
  </commentList>
</comments>
</file>

<file path=xl/sharedStrings.xml><?xml version="1.0" encoding="utf-8"?>
<sst xmlns="http://schemas.openxmlformats.org/spreadsheetml/2006/main" count="368" uniqueCount="283">
  <si>
    <t>lhMachineCode</t>
  </si>
  <si>
    <t>materialCode</t>
  </si>
  <si>
    <t>materialDesc</t>
  </si>
  <si>
    <t>mainMaterialDesc</t>
  </si>
  <si>
    <t>structureName</t>
  </si>
  <si>
    <t>mouldSurplusQty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</si>
  <si>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</si>
  <si>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</si>
  <si>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</si>
  <si>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</si>
  <si>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</si>
  <si>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</si>
  <si>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leftRightMould</t>
  </si>
  <si>
    <t>class1Type</t>
  </si>
  <si>
    <t>mouldMethod</t>
  </si>
  <si>
    <t>class1Analysis</t>
  </si>
  <si>
    <t>class1Dot</t>
  </si>
  <si>
    <t>class2Order</t>
  </si>
  <si>
    <t>class2PlanQty</t>
  </si>
  <si>
    <t>class2FinishQty</t>
  </si>
  <si>
    <t>class2Type</t>
  </si>
  <si>
    <t>class2Analysis</t>
  </si>
  <si>
    <t>class2Dot</t>
  </si>
  <si>
    <t>class3Order</t>
  </si>
  <si>
    <t>class3PlanQty</t>
  </si>
  <si>
    <t>class3FinishQty</t>
  </si>
  <si>
    <t>class3Type</t>
  </si>
  <si>
    <t>class3Analysis</t>
  </si>
  <si>
    <t>class3Dot</t>
  </si>
  <si>
    <t>class4Order</t>
  </si>
  <si>
    <t>class4PlanQty</t>
  </si>
  <si>
    <t>class4FinishQty</t>
  </si>
  <si>
    <t>class4Type</t>
  </si>
  <si>
    <t>class4Analysis</t>
  </si>
  <si>
    <t>class4Dot</t>
  </si>
  <si>
    <t>class5Order</t>
  </si>
  <si>
    <t>class5PlanQty</t>
  </si>
  <si>
    <t>class5FinishQty</t>
  </si>
  <si>
    <t>class5Type</t>
  </si>
  <si>
    <t>class5Analysis</t>
  </si>
  <si>
    <t>class5Dot</t>
  </si>
  <si>
    <t>class6Order</t>
  </si>
  <si>
    <t>class6PlanQty</t>
  </si>
  <si>
    <t>class6FinishQty</t>
  </si>
  <si>
    <t>class6Type</t>
  </si>
  <si>
    <t>class6Analysis</t>
  </si>
  <si>
    <t>class6Dot</t>
  </si>
  <si>
    <t>class7Order</t>
  </si>
  <si>
    <t>class7PlanQty</t>
  </si>
  <si>
    <t>class7FinishQty</t>
  </si>
  <si>
    <t>class7Type</t>
  </si>
  <si>
    <t>class7Analysis</t>
  </si>
  <si>
    <t>class7Dot</t>
  </si>
  <si>
    <t>class8Order</t>
  </si>
  <si>
    <t>class8PlanQty</t>
  </si>
  <si>
    <t>class8FinishQty</t>
  </si>
  <si>
    <t>class8Type</t>
  </si>
  <si>
    <t>class8Analysis</t>
  </si>
  <si>
    <t>class8Dot</t>
  </si>
  <si>
    <t>dailyPlanQty</t>
  </si>
  <si>
    <t>totalFinishQty</t>
  </si>
  <si>
    <t>totalPlanQty</t>
  </si>
  <si>
    <t>remark</t>
  </si>
  <si>
    <t>cxMachineCode</t>
  </si>
  <si>
    <t>todayNightFinishQty</t>
  </si>
  <si>
    <r>
      <rPr>
        <b/>
        <sz val="11"/>
        <color theme="1"/>
        <rFont val="等线"/>
        <charset val="134"/>
      </rPr>
      <t xml:space="preserve">{yearmonthday}全钢硫化工程生产计划单
</t>
    </r>
    <r>
      <rPr>
        <b/>
        <sz val="11"/>
        <color indexed="8"/>
        <rFont val="Cambria"/>
        <charset val="134"/>
      </rPr>
      <t>Đơ</t>
    </r>
    <r>
      <rPr>
        <b/>
        <sz val="11"/>
        <color indexed="8"/>
        <rFont val="等线"/>
        <charset val="134"/>
      </rPr>
      <t>n k</t>
    </r>
    <r>
      <rPr>
        <b/>
        <sz val="11"/>
        <color indexed="8"/>
        <rFont val="Cambria"/>
        <charset val="134"/>
      </rPr>
      <t>ế</t>
    </r>
    <r>
      <rPr>
        <b/>
        <sz val="11"/>
        <color indexed="8"/>
        <rFont val="等线"/>
        <charset val="134"/>
      </rPr>
      <t xml:space="preserve"> ho</t>
    </r>
    <r>
      <rPr>
        <b/>
        <sz val="11"/>
        <color indexed="8"/>
        <rFont val="Cambria"/>
        <charset val="134"/>
      </rPr>
      <t>ạ</t>
    </r>
    <r>
      <rPr>
        <b/>
        <sz val="11"/>
        <color indexed="8"/>
        <rFont val="等线"/>
        <charset val="134"/>
      </rPr>
      <t>ch s</t>
    </r>
    <r>
      <rPr>
        <b/>
        <sz val="11"/>
        <color indexed="8"/>
        <rFont val="Cambria"/>
        <charset val="134"/>
      </rPr>
      <t>ả</t>
    </r>
    <r>
      <rPr>
        <b/>
        <sz val="11"/>
        <color indexed="8"/>
        <rFont val="等线"/>
        <charset val="134"/>
      </rPr>
      <t>n xu</t>
    </r>
    <r>
      <rPr>
        <b/>
        <sz val="11"/>
        <color indexed="8"/>
        <rFont val="Cambria"/>
        <charset val="134"/>
      </rPr>
      <t>ấ</t>
    </r>
    <r>
      <rPr>
        <b/>
        <sz val="11"/>
        <color indexed="8"/>
        <rFont val="等线"/>
        <charset val="134"/>
      </rPr>
      <t>t c</t>
    </r>
    <r>
      <rPr>
        <b/>
        <sz val="11"/>
        <color indexed="8"/>
        <rFont val="Cambria"/>
        <charset val="134"/>
      </rPr>
      <t>ủ</t>
    </r>
    <r>
      <rPr>
        <b/>
        <sz val="11"/>
        <color indexed="8"/>
        <rFont val="等线"/>
        <charset val="134"/>
      </rPr>
      <t xml:space="preserve">a công </t>
    </r>
    <r>
      <rPr>
        <b/>
        <sz val="11"/>
        <color indexed="8"/>
        <rFont val="Cambria"/>
        <charset val="134"/>
      </rPr>
      <t>đ</t>
    </r>
    <r>
      <rPr>
        <b/>
        <sz val="11"/>
        <color indexed="8"/>
        <rFont val="等线"/>
        <charset val="134"/>
      </rPr>
      <t>o</t>
    </r>
    <r>
      <rPr>
        <b/>
        <sz val="11"/>
        <color indexed="8"/>
        <rFont val="Cambria"/>
        <charset val="134"/>
      </rPr>
      <t>ạ</t>
    </r>
    <r>
      <rPr>
        <b/>
        <sz val="11"/>
        <color indexed="8"/>
        <rFont val="等线"/>
        <charset val="134"/>
      </rPr>
      <t>n l</t>
    </r>
    <r>
      <rPr>
        <b/>
        <sz val="11"/>
        <color indexed="8"/>
        <rFont val="Cambria"/>
        <charset val="134"/>
      </rPr>
      <t>ư</t>
    </r>
    <r>
      <rPr>
        <b/>
        <sz val="11"/>
        <color indexed="8"/>
        <rFont val="等线"/>
        <charset val="134"/>
      </rPr>
      <t>u hóa toàn thép</t>
    </r>
  </si>
  <si>
    <r>
      <rPr>
        <sz val="9"/>
        <color indexed="8"/>
        <rFont val="等线"/>
        <charset val="134"/>
      </rPr>
      <t xml:space="preserve"> 版本号phiên b</t>
    </r>
    <r>
      <rPr>
        <sz val="9"/>
        <color indexed="8"/>
        <rFont val="Calibri"/>
        <charset val="163"/>
      </rPr>
      <t>ả</t>
    </r>
    <r>
      <rPr>
        <sz val="9"/>
        <color indexed="8"/>
        <rFont val="等线"/>
        <charset val="134"/>
      </rPr>
      <t>n：{batchNo}</t>
    </r>
  </si>
  <si>
    <t>班产</t>
  </si>
  <si>
    <t>换模次数</t>
  </si>
  <si>
    <t>{mouldChangeCount1}</t>
  </si>
  <si>
    <t>{mouldChangeCount2}</t>
  </si>
  <si>
    <t>{mouldChangeCount3}</t>
  </si>
  <si>
    <t>{mouldChangeCount4}</t>
  </si>
  <si>
    <t>{mouldChangeCount5}</t>
  </si>
  <si>
    <t>{mouldChangeCount6}</t>
  </si>
  <si>
    <t>*机台</t>
  </si>
  <si>
    <t>硫化物料号</t>
  </si>
  <si>
    <t xml:space="preserve">物料描述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</si>
  <si>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</si>
  <si>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</si>
  <si>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</si>
  <si>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</si>
  <si>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</si>
  <si>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</si>
  <si>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</si>
  <si>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</si>
  <si>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</si>
  <si>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</si>
  <si>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</si>
  <si>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</si>
  <si>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</si>
  <si>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</si>
  <si>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合计
Tổng</t>
  </si>
  <si>
    <t xml:space="preserve">总计
</t>
  </si>
  <si>
    <t xml:space="preserve">备注
</t>
  </si>
  <si>
    <t>对应成型机台号</t>
  </si>
  <si>
    <t xml:space="preserve">订单
</t>
  </si>
  <si>
    <t>硫化产量
今天夜班</t>
  </si>
  <si>
    <t>。</t>
  </si>
  <si>
    <t>.</t>
  </si>
  <si>
    <t>Máy</t>
  </si>
  <si>
    <t>Mã NC</t>
  </si>
  <si>
    <t>Quy cách lưu hóa</t>
  </si>
  <si>
    <t>Phôi thành hình</t>
  </si>
  <si>
    <t>Số còn thiếu</t>
  </si>
  <si>
    <t>Phôi tồn</t>
  </si>
  <si>
    <r>
      <rPr>
        <b/>
        <sz val="9"/>
        <color theme="0"/>
        <rFont val="等线"/>
        <charset val="134"/>
      </rPr>
      <t>L</t>
    </r>
    <r>
      <rPr>
        <b/>
        <sz val="9"/>
        <color indexed="9"/>
        <rFont val="Arial"/>
        <charset val="134"/>
      </rPr>
      <t>ư</t>
    </r>
    <r>
      <rPr>
        <b/>
        <sz val="9"/>
        <color indexed="9"/>
        <rFont val="等线"/>
        <charset val="134"/>
      </rPr>
      <t>u hóa trong ca</t>
    </r>
  </si>
  <si>
    <t>*顺序
Stt</t>
  </si>
  <si>
    <t>*计划
Kế hoạch</t>
  </si>
  <si>
    <t>实际
Thực tế</t>
  </si>
  <si>
    <t>左右模
Khuôn trái phải</t>
  </si>
  <si>
    <t>类型
Loại hình</t>
  </si>
  <si>
    <r>
      <rPr>
        <sz val="9"/>
        <color theme="0"/>
        <rFont val="等线"/>
        <charset val="134"/>
      </rPr>
      <t>*示方类型
Ph</t>
    </r>
    <r>
      <rPr>
        <b/>
        <sz val="9"/>
        <color indexed="9"/>
        <rFont val="Arial"/>
        <charset val="134"/>
      </rPr>
      <t>ươ</t>
    </r>
    <r>
      <rPr>
        <b/>
        <sz val="9"/>
        <color indexed="9"/>
        <rFont val="等线"/>
        <charset val="134"/>
      </rPr>
      <t>ng thức</t>
    </r>
  </si>
  <si>
    <t>*备注
Chú ý</t>
  </si>
  <si>
    <t>*DOT
DOT</t>
  </si>
  <si>
    <t/>
  </si>
  <si>
    <t>计划
Kế hoạch</t>
  </si>
  <si>
    <r>
      <rPr>
        <b/>
        <sz val="9"/>
        <color theme="0"/>
        <rFont val="等线"/>
        <charset val="134"/>
      </rPr>
      <t>T</t>
    </r>
    <r>
      <rPr>
        <b/>
        <sz val="9"/>
        <color indexed="9"/>
        <rFont val="Calibri"/>
        <charset val="134"/>
      </rPr>
      <t>ổ</t>
    </r>
    <r>
      <rPr>
        <b/>
        <sz val="9"/>
        <color indexed="9"/>
        <rFont val="等线"/>
        <charset val="134"/>
      </rPr>
      <t>ng</t>
    </r>
  </si>
  <si>
    <t>Ghi chú</t>
  </si>
  <si>
    <r>
      <rPr>
        <b/>
        <sz val="9"/>
        <color indexed="9"/>
        <rFont val="Segoe UI"/>
        <charset val="238"/>
      </rPr>
      <t>Đơ</t>
    </r>
    <r>
      <rPr>
        <b/>
        <sz val="9"/>
        <color indexed="9"/>
        <rFont val="Calibri"/>
        <charset val="134"/>
      </rPr>
      <t xml:space="preserve">n hàng </t>
    </r>
  </si>
  <si>
    <r>
      <rPr>
        <b/>
        <sz val="9"/>
        <color theme="0"/>
        <rFont val="等线"/>
        <charset val="134"/>
      </rPr>
      <t>S</t>
    </r>
    <r>
      <rPr>
        <b/>
        <sz val="9"/>
        <color indexed="9"/>
        <rFont val="Cambria"/>
        <charset val="134"/>
      </rPr>
      <t>ả</t>
    </r>
    <r>
      <rPr>
        <b/>
        <sz val="9"/>
        <color indexed="9"/>
        <rFont val="等线"/>
        <charset val="134"/>
      </rPr>
      <t>n l</t>
    </r>
    <r>
      <rPr>
        <sz val="9"/>
        <color indexed="9"/>
        <rFont val="Arial"/>
        <charset val="134"/>
      </rPr>
      <t>ư</t>
    </r>
    <r>
      <rPr>
        <sz val="9"/>
        <color indexed="9"/>
        <rFont val="Cambria"/>
        <charset val="134"/>
      </rPr>
      <t>ợ</t>
    </r>
    <r>
      <rPr>
        <sz val="9"/>
        <color indexed="9"/>
        <rFont val="等线"/>
        <charset val="134"/>
      </rPr>
      <t>ng l</t>
    </r>
    <r>
      <rPr>
        <sz val="9"/>
        <color indexed="9"/>
        <rFont val="Arial"/>
        <charset val="134"/>
      </rPr>
      <t>ư</t>
    </r>
    <r>
      <rPr>
        <sz val="9"/>
        <color indexed="9"/>
        <rFont val="等线"/>
        <charset val="134"/>
      </rPr>
      <t xml:space="preserve">u hóa </t>
    </r>
    <r>
      <rPr>
        <sz val="9"/>
        <color indexed="9"/>
        <rFont val="Cambria"/>
        <charset val="134"/>
      </rPr>
      <t>đạ</t>
    </r>
    <r>
      <rPr>
        <sz val="9"/>
        <color indexed="9"/>
        <rFont val="等线"/>
        <charset val="134"/>
      </rPr>
      <t xml:space="preserve">t </t>
    </r>
  </si>
  <si>
    <t>{.lhMachineCode}</t>
  </si>
  <si>
    <t>{.materialCode}</t>
  </si>
  <si>
    <t>{.materialDesc}</t>
  </si>
  <si>
    <t>{.mainMaterialDesc}</t>
  </si>
  <si>
    <t>{.structureName}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</si>
  <si>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</si>
  <si>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</si>
  <si>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</si>
  <si>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</si>
  <si>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</si>
  <si>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</si>
  <si>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</si>
  <si>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{.class1Type}</t>
  </si>
  <si>
    <t>{.class1MouldMethod}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</si>
  <si>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</si>
  <si>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</si>
  <si>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</si>
  <si>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</si>
  <si>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</si>
  <si>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</si>
  <si>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{.class2Type}</t>
  </si>
  <si>
    <t>{.class2MouldMethod}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</si>
  <si>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</si>
  <si>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</si>
  <si>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</si>
  <si>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</si>
  <si>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</si>
  <si>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</si>
  <si>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{.class3Type}</t>
  </si>
  <si>
    <t>{.class3MouldMethod}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</si>
  <si>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</si>
  <si>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</si>
  <si>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</si>
  <si>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</si>
  <si>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</si>
  <si>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</si>
  <si>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{.class4Type}</t>
  </si>
  <si>
    <t>{.class4MouldMethod}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</si>
  <si>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</si>
  <si>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</si>
  <si>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</si>
  <si>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</si>
  <si>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</si>
  <si>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</si>
  <si>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{.class5Type}</t>
  </si>
  <si>
    <t>{.class5MouldMethod}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</si>
  <si>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</si>
  <si>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</si>
  <si>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</si>
  <si>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</si>
  <si>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</si>
  <si>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</si>
  <si>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{.class6Type}</t>
  </si>
  <si>
    <t>{.class6MouldMethod}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</si>
  <si>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</si>
  <si>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</si>
  <si>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</si>
  <si>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</si>
  <si>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</si>
  <si>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</si>
  <si>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{.class7Type}</t>
  </si>
  <si>
    <t>{.class7MouldMethod}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</si>
  <si>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</si>
  <si>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</si>
  <si>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</si>
  <si>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</si>
  <si>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</si>
  <si>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</si>
  <si>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{.class8Type}</t>
  </si>
  <si>
    <t>{.class8MouldMethod}</t>
  </si>
  <si>
    <t>{.class8Analysis}</t>
  </si>
  <si>
    <t>{.class8Dot}</t>
  </si>
  <si>
    <t>{.remark}</t>
  </si>
  <si>
    <t>{.cxMachineCode}</t>
  </si>
  <si>
    <t>{.totalDailyPlanQty}</t>
  </si>
  <si>
    <t>{.todayNightFinishQty}</t>
  </si>
  <si>
    <t>planDate</t>
  </si>
  <si>
    <t>classIndex</t>
  </si>
  <si>
    <t>lhMachineName</t>
  </si>
  <si>
    <t>planOrder</t>
  </si>
  <si>
    <t>beforeMaterialCode</t>
  </si>
  <si>
    <t>beforeMaterialDesc</t>
  </si>
  <si>
    <t>afterMaterialCode</t>
  </si>
  <si>
    <t>afterMaterialDesc</t>
  </si>
  <si>
    <t>mouldCode</t>
  </si>
  <si>
    <t>{title}</t>
  </si>
  <si>
    <t>{version}</t>
  </si>
  <si>
    <t xml:space="preserve">序号
</t>
  </si>
  <si>
    <t xml:space="preserve">计划日期
</t>
  </si>
  <si>
    <t xml:space="preserve">班次
</t>
  </si>
  <si>
    <t xml:space="preserve">机台
</t>
  </si>
  <si>
    <t xml:space="preserve">计划顺位
</t>
  </si>
  <si>
    <t xml:space="preserve">左右模
</t>
  </si>
  <si>
    <t xml:space="preserve">当前物料
</t>
  </si>
  <si>
    <t xml:space="preserve">计划物料 
</t>
  </si>
  <si>
    <t>换模类型（按时间或按余量收尾）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</si>
  <si>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</si>
  <si>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</si>
  <si>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</si>
  <si>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</si>
  <si>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</si>
  <si>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</si>
  <si>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</si>
  <si>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r>
      <rPr>
        <b/>
        <sz val="9"/>
        <color theme="0"/>
        <rFont val="等线"/>
        <charset val="134"/>
      </rPr>
      <t>STT k</t>
    </r>
    <r>
      <rPr>
        <b/>
        <sz val="9"/>
        <color indexed="9"/>
        <rFont val="Calibri"/>
        <charset val="163"/>
      </rPr>
      <t>ế</t>
    </r>
    <r>
      <rPr>
        <b/>
        <sz val="9"/>
        <color indexed="9"/>
        <rFont val="等线"/>
        <charset val="134"/>
      </rPr>
      <t xml:space="preserve"> ho</t>
    </r>
    <r>
      <rPr>
        <b/>
        <sz val="9"/>
        <color indexed="9"/>
        <rFont val="Calibri"/>
        <charset val="163"/>
      </rPr>
      <t>ạ</t>
    </r>
    <r>
      <rPr>
        <b/>
        <sz val="9"/>
        <color indexed="9"/>
        <rFont val="等线"/>
        <charset val="134"/>
      </rPr>
      <t xml:space="preserve">ch </t>
    </r>
  </si>
  <si>
    <r>
      <rPr>
        <b/>
        <sz val="9"/>
        <color theme="0"/>
        <rFont val="等线"/>
        <charset val="134"/>
      </rPr>
      <t>Trái ph</t>
    </r>
    <r>
      <rPr>
        <b/>
        <sz val="9"/>
        <color indexed="9"/>
        <rFont val="Calibri"/>
        <charset val="163"/>
      </rPr>
      <t>ả</t>
    </r>
    <r>
      <rPr>
        <b/>
        <sz val="9"/>
        <color indexed="9"/>
        <rFont val="等线"/>
        <charset val="134"/>
      </rPr>
      <t>i c</t>
    </r>
    <r>
      <rPr>
        <b/>
        <sz val="9"/>
        <color indexed="9"/>
        <rFont val="Calibri"/>
        <charset val="163"/>
      </rPr>
      <t>ủ</t>
    </r>
    <r>
      <rPr>
        <b/>
        <sz val="9"/>
        <color indexed="9"/>
        <rFont val="等线"/>
        <charset val="134"/>
      </rPr>
      <t>a khuôn</t>
    </r>
  </si>
  <si>
    <r>
      <rPr>
        <b/>
        <sz val="9"/>
        <color theme="0"/>
        <rFont val="等线"/>
        <charset val="134"/>
      </rPr>
      <t>Mã li</t>
    </r>
    <r>
      <rPr>
        <b/>
        <sz val="9"/>
        <color indexed="9"/>
        <rFont val="Calibri"/>
        <charset val="163"/>
      </rPr>
      <t>ệ</t>
    </r>
    <r>
      <rPr>
        <b/>
        <sz val="9"/>
        <color indexed="9"/>
        <rFont val="等线"/>
        <charset val="134"/>
      </rPr>
      <t>u k</t>
    </r>
    <r>
      <rPr>
        <b/>
        <sz val="9"/>
        <color indexed="9"/>
        <rFont val="Calibri"/>
        <charset val="163"/>
      </rPr>
      <t>ế</t>
    </r>
    <r>
      <rPr>
        <b/>
        <sz val="9"/>
        <color indexed="9"/>
        <rFont val="等线"/>
        <charset val="134"/>
      </rPr>
      <t xml:space="preserve"> ho</t>
    </r>
    <r>
      <rPr>
        <b/>
        <sz val="9"/>
        <color indexed="9"/>
        <rFont val="Calibri"/>
        <charset val="163"/>
      </rPr>
      <t>ạ</t>
    </r>
    <r>
      <rPr>
        <b/>
        <sz val="9"/>
        <color indexed="9"/>
        <rFont val="等线"/>
        <charset val="134"/>
      </rPr>
      <t xml:space="preserve">ch  </t>
    </r>
    <r>
      <rPr>
        <b/>
        <sz val="9"/>
        <color indexed="9"/>
        <rFont val="Segoe UI"/>
        <charset val="238"/>
      </rPr>
      <t>đ</t>
    </r>
    <r>
      <rPr>
        <b/>
        <sz val="9"/>
        <color indexed="9"/>
        <rFont val="等线"/>
        <charset val="134"/>
      </rPr>
      <t>ang l</t>
    </r>
    <r>
      <rPr>
        <b/>
        <sz val="9"/>
        <color indexed="9"/>
        <rFont val="Segoe UI"/>
        <charset val="238"/>
      </rPr>
      <t>ư</t>
    </r>
    <r>
      <rPr>
        <b/>
        <sz val="9"/>
        <color indexed="9"/>
        <rFont val="等线"/>
        <charset val="134"/>
      </rPr>
      <t>u hóa (tr</t>
    </r>
    <r>
      <rPr>
        <b/>
        <sz val="9"/>
        <color indexed="9"/>
        <rFont val="Segoe UI"/>
        <charset val="238"/>
      </rPr>
      <t>ư</t>
    </r>
    <r>
      <rPr>
        <b/>
        <sz val="9"/>
        <color indexed="9"/>
        <rFont val="Calibri"/>
        <charset val="163"/>
      </rPr>
      <t>ớ</t>
    </r>
    <r>
      <rPr>
        <b/>
        <sz val="9"/>
        <color indexed="9"/>
        <rFont val="等线"/>
        <charset val="134"/>
      </rPr>
      <t>c khi thay)</t>
    </r>
  </si>
  <si>
    <r>
      <rPr>
        <b/>
        <sz val="9"/>
        <color theme="0"/>
        <rFont val="等线"/>
        <charset val="134"/>
      </rPr>
      <t>Mô t</t>
    </r>
    <r>
      <rPr>
        <b/>
        <sz val="9"/>
        <color indexed="9"/>
        <rFont val="Calibri"/>
        <charset val="163"/>
      </rPr>
      <t>ả</t>
    </r>
    <r>
      <rPr>
        <b/>
        <sz val="9"/>
        <color indexed="9"/>
        <rFont val="等线"/>
        <charset val="134"/>
      </rPr>
      <t xml:space="preserve"> v</t>
    </r>
    <r>
      <rPr>
        <b/>
        <sz val="9"/>
        <color indexed="9"/>
        <rFont val="Calibri"/>
        <charset val="163"/>
      </rPr>
      <t>ậ</t>
    </r>
    <r>
      <rPr>
        <b/>
        <sz val="9"/>
        <color indexed="9"/>
        <rFont val="等线"/>
        <charset val="134"/>
      </rPr>
      <t>t li</t>
    </r>
    <r>
      <rPr>
        <b/>
        <sz val="9"/>
        <color indexed="9"/>
        <rFont val="Calibri"/>
        <charset val="163"/>
      </rPr>
      <t>ệ</t>
    </r>
    <r>
      <rPr>
        <b/>
        <sz val="9"/>
        <color indexed="9"/>
        <rFont val="等线"/>
        <charset val="134"/>
      </rPr>
      <t>u (tr</t>
    </r>
    <r>
      <rPr>
        <b/>
        <sz val="9"/>
        <color indexed="9"/>
        <rFont val="Segoe UI"/>
        <charset val="238"/>
      </rPr>
      <t>ư</t>
    </r>
    <r>
      <rPr>
        <b/>
        <sz val="9"/>
        <color indexed="9"/>
        <rFont val="Calibri"/>
        <charset val="163"/>
      </rPr>
      <t>ớ</t>
    </r>
    <r>
      <rPr>
        <b/>
        <sz val="9"/>
        <color indexed="9"/>
        <rFont val="等线"/>
        <charset val="134"/>
      </rPr>
      <t>c khi thay)</t>
    </r>
  </si>
  <si>
    <r>
      <rPr>
        <b/>
        <sz val="9"/>
        <color theme="0"/>
        <rFont val="等线"/>
        <charset val="134"/>
      </rPr>
      <t>Mã li</t>
    </r>
    <r>
      <rPr>
        <b/>
        <sz val="9"/>
        <color indexed="9"/>
        <rFont val="Calibri"/>
        <charset val="163"/>
      </rPr>
      <t>ệ</t>
    </r>
    <r>
      <rPr>
        <b/>
        <sz val="9"/>
        <color indexed="9"/>
        <rFont val="等线"/>
        <charset val="134"/>
      </rPr>
      <t>u k</t>
    </r>
    <r>
      <rPr>
        <b/>
        <sz val="9"/>
        <color indexed="9"/>
        <rFont val="Calibri"/>
        <charset val="163"/>
      </rPr>
      <t>ế</t>
    </r>
    <r>
      <rPr>
        <b/>
        <sz val="9"/>
        <color indexed="9"/>
        <rFont val="等线"/>
        <charset val="134"/>
      </rPr>
      <t xml:space="preserve"> ho</t>
    </r>
    <r>
      <rPr>
        <b/>
        <sz val="9"/>
        <color indexed="9"/>
        <rFont val="Calibri"/>
        <charset val="163"/>
      </rPr>
      <t>ạ</t>
    </r>
    <r>
      <rPr>
        <b/>
        <sz val="9"/>
        <color indexed="9"/>
        <rFont val="等线"/>
        <charset val="134"/>
      </rPr>
      <t>ch  (sau khi thay)</t>
    </r>
  </si>
  <si>
    <r>
      <rPr>
        <b/>
        <sz val="9"/>
        <color theme="0"/>
        <rFont val="等线"/>
        <charset val="134"/>
      </rPr>
      <t>Mô t</t>
    </r>
    <r>
      <rPr>
        <b/>
        <sz val="9"/>
        <color indexed="9"/>
        <rFont val="Calibri"/>
        <charset val="163"/>
      </rPr>
      <t>ả</t>
    </r>
    <r>
      <rPr>
        <b/>
        <sz val="9"/>
        <color indexed="9"/>
        <rFont val="等线"/>
        <charset val="134"/>
      </rPr>
      <t xml:space="preserve"> v</t>
    </r>
    <r>
      <rPr>
        <b/>
        <sz val="9"/>
        <color indexed="9"/>
        <rFont val="Calibri"/>
        <charset val="163"/>
      </rPr>
      <t>ậ</t>
    </r>
    <r>
      <rPr>
        <b/>
        <sz val="9"/>
        <color indexed="9"/>
        <rFont val="等线"/>
        <charset val="134"/>
      </rPr>
      <t>t li</t>
    </r>
    <r>
      <rPr>
        <b/>
        <sz val="9"/>
        <color indexed="9"/>
        <rFont val="Calibri"/>
        <charset val="163"/>
      </rPr>
      <t>ệ</t>
    </r>
    <r>
      <rPr>
        <b/>
        <sz val="9"/>
        <color indexed="9"/>
        <rFont val="等线"/>
        <charset val="134"/>
      </rPr>
      <t>u (sau khi thay)</t>
    </r>
  </si>
  <si>
    <t>{.seq}</t>
  </si>
  <si>
    <t>{.planDate}</t>
  </si>
  <si>
    <t>{.classIndex}</t>
  </si>
  <si>
    <t>{.planOrder}</t>
  </si>
  <si>
    <t>{.leftRightMould}</t>
  </si>
  <si>
    <t>{.beforeMaterialCode}</t>
  </si>
  <si>
    <r>
      <rPr>
        <sz val="9"/>
        <rFont val="等线"/>
        <charset val="134"/>
      </rPr>
      <t>{.</t>
    </r>
    <r>
      <rPr>
        <b/>
        <sz val="9"/>
        <rFont val="等线"/>
        <charset val="134"/>
      </rPr>
      <t>beforeMaterialDesc</t>
    </r>
    <r>
      <rPr>
        <sz val="9"/>
        <rFont val="等线"/>
        <charset val="134"/>
      </rPr>
      <t>}</t>
    </r>
  </si>
  <si>
    <t>{.afterMaterialCode}</t>
  </si>
  <si>
    <t>{.afterMaterialDesc}</t>
  </si>
  <si>
    <t>{.changeType}</t>
  </si>
  <si>
    <t>{.isDryIceClean}</t>
  </si>
  <si>
    <t>{.isSandblastingClean}</t>
  </si>
  <si>
    <t>{.isReplaceBlock}</t>
  </si>
  <si>
    <t>{.mouldCode}</t>
  </si>
  <si>
    <t>{titleDate}</t>
  </si>
  <si>
    <r>
      <rPr>
        <b/>
        <sz val="12"/>
        <color theme="1"/>
        <rFont val="宋体"/>
        <charset val="0"/>
      </rPr>
      <t>成型</t>
    </r>
    <r>
      <rPr>
        <b/>
        <sz val="12"/>
        <color theme="1"/>
        <rFont val="Arial"/>
        <charset val="0"/>
      </rPr>
      <t xml:space="preserve"> Thành hình</t>
    </r>
  </si>
  <si>
    <r>
      <rPr>
        <sz val="12"/>
        <color theme="1"/>
        <rFont val="宋体"/>
        <charset val="0"/>
      </rPr>
      <t>夜班</t>
    </r>
    <r>
      <rPr>
        <sz val="12"/>
        <color theme="1"/>
        <rFont val="Arial"/>
        <charset val="0"/>
      </rPr>
      <t xml:space="preserve"> Ca đêm </t>
    </r>
  </si>
  <si>
    <r>
      <rPr>
        <sz val="12"/>
        <color theme="1"/>
        <rFont val="宋体"/>
        <charset val="0"/>
      </rPr>
      <t>早班</t>
    </r>
    <r>
      <rPr>
        <sz val="12"/>
        <color theme="1"/>
        <rFont val="Arial"/>
        <charset val="0"/>
      </rPr>
      <t xml:space="preserve"> Ca sáng </t>
    </r>
  </si>
  <si>
    <r>
      <rPr>
        <sz val="12"/>
        <color theme="1"/>
        <rFont val="宋体"/>
        <charset val="0"/>
      </rPr>
      <t>中班</t>
    </r>
    <r>
      <rPr>
        <sz val="12"/>
        <color theme="1"/>
        <rFont val="Arial"/>
        <charset val="0"/>
      </rPr>
      <t xml:space="preserve"> Ca trưa </t>
    </r>
  </si>
  <si>
    <r>
      <rPr>
        <sz val="12"/>
        <color theme="1"/>
        <rFont val="宋体"/>
        <charset val="0"/>
      </rPr>
      <t>合计</t>
    </r>
    <r>
      <rPr>
        <sz val="12"/>
        <color theme="1"/>
        <rFont val="Arial"/>
        <charset val="0"/>
      </rPr>
      <t xml:space="preserve"> Tổng </t>
    </r>
  </si>
  <si>
    <t>{cxNightQty}</t>
  </si>
  <si>
    <t>{cxMorningQty}</t>
  </si>
  <si>
    <t>{cxMiddleQty}</t>
  </si>
  <si>
    <t>{cxTotalQty}</t>
  </si>
  <si>
    <r>
      <rPr>
        <sz val="12"/>
        <color theme="1"/>
        <rFont val="宋体"/>
        <charset val="0"/>
      </rPr>
      <t>试制</t>
    </r>
    <r>
      <rPr>
        <sz val="12"/>
        <color theme="1"/>
        <rFont val="Arial"/>
        <charset val="0"/>
      </rPr>
      <t xml:space="preserve"> Thử nghiệm </t>
    </r>
  </si>
  <si>
    <t>{cxSetupInfo}</t>
  </si>
  <si>
    <r>
      <rPr>
        <sz val="12"/>
        <color theme="1"/>
        <rFont val="宋体"/>
        <charset val="0"/>
      </rPr>
      <t>量试</t>
    </r>
    <r>
      <rPr>
        <sz val="12"/>
        <color theme="1"/>
        <rFont val="Arial"/>
        <charset val="0"/>
      </rPr>
      <t xml:space="preserve"> Thử nghiệm số lượng</t>
    </r>
  </si>
  <si>
    <t>{cxTrialInfo}</t>
  </si>
  <si>
    <r>
      <rPr>
        <sz val="12"/>
        <color theme="1"/>
        <rFont val="宋体"/>
        <charset val="0"/>
      </rPr>
      <t>规格切换</t>
    </r>
    <r>
      <rPr>
        <sz val="12"/>
        <color theme="1"/>
        <rFont val="Arial"/>
        <charset val="0"/>
      </rPr>
      <t xml:space="preserve">
Thay quy cách </t>
    </r>
  </si>
  <si>
    <t>{cxSpecSwitch}</t>
  </si>
  <si>
    <r>
      <rPr>
        <sz val="12"/>
        <color theme="1"/>
        <rFont val="宋体"/>
        <charset val="0"/>
      </rPr>
      <t>小胶种</t>
    </r>
    <r>
      <rPr>
        <sz val="12"/>
        <color theme="1"/>
        <rFont val="Arial"/>
        <charset val="0"/>
      </rPr>
      <t xml:space="preserve"> 
Loại su nhỏ</t>
    </r>
  </si>
  <si>
    <t>{.rubberTypeName}</t>
  </si>
  <si>
    <t>{.specPattern}</t>
  </si>
  <si>
    <r>
      <rPr>
        <b/>
        <sz val="12"/>
        <color theme="1"/>
        <rFont val="宋体"/>
        <charset val="0"/>
      </rPr>
      <t>硫化</t>
    </r>
    <r>
      <rPr>
        <b/>
        <sz val="12"/>
        <color theme="1"/>
        <rFont val="Arial"/>
        <charset val="0"/>
      </rPr>
      <t xml:space="preserve"> Lưu hóa</t>
    </r>
  </si>
  <si>
    <t>{lhNightQty}</t>
  </si>
  <si>
    <t>{lhMorningQty}</t>
  </si>
  <si>
    <t>{lhMiddleQty}</t>
  </si>
  <si>
    <t>{lhTotalQty}</t>
  </si>
  <si>
    <r>
      <rPr>
        <sz val="12"/>
        <color theme="1"/>
        <rFont val="宋体"/>
        <charset val="0"/>
      </rPr>
      <t>硫化开动</t>
    </r>
    <r>
      <rPr>
        <sz val="12"/>
        <color theme="1"/>
        <rFont val="Arial"/>
        <charset val="0"/>
      </rPr>
      <t xml:space="preserve">
Số lượng máy lưu hóa</t>
    </r>
  </si>
  <si>
    <t>{lhNightMachines}</t>
  </si>
  <si>
    <t>{lhMorningMachines}</t>
  </si>
  <si>
    <t>{lhMiddleMachines}</t>
  </si>
  <si>
    <t>{lhTotalMachines}</t>
  </si>
  <si>
    <r>
      <rPr>
        <sz val="12"/>
        <color theme="1"/>
        <rFont val="宋体"/>
        <charset val="0"/>
      </rPr>
      <t>模具交替</t>
    </r>
    <r>
      <rPr>
        <sz val="12"/>
        <color theme="1"/>
        <rFont val="Arial"/>
        <charset val="0"/>
      </rPr>
      <t xml:space="preserve"> Thay khuôn </t>
    </r>
  </si>
  <si>
    <t>{mouldCleanDate}</t>
  </si>
  <si>
    <t>{mouldChangeInfo}</t>
  </si>
  <si>
    <r>
      <rPr>
        <sz val="12"/>
        <color theme="1"/>
        <rFont val="宋体"/>
        <charset val="0"/>
      </rPr>
      <t>模具清洗</t>
    </r>
    <r>
      <rPr>
        <sz val="12"/>
        <color theme="1"/>
        <rFont val="Arial"/>
        <charset val="0"/>
      </rPr>
      <t xml:space="preserve"> Vệ sinh khuôn </t>
    </r>
  </si>
  <si>
    <t>{mouldCleanInfo}</t>
  </si>
  <si>
    <r>
      <rPr>
        <sz val="12"/>
        <color theme="1"/>
        <rFont val="宋体"/>
        <charset val="0"/>
      </rPr>
      <t>备注</t>
    </r>
    <r>
      <rPr>
        <sz val="12"/>
        <color theme="1"/>
        <rFont val="Arial"/>
        <charset val="0"/>
      </rPr>
      <t xml:space="preserve"> Ghi chú</t>
    </r>
  </si>
  <si>
    <t>成型</t>
  </si>
  <si>
    <t>{cxRemark}</t>
  </si>
  <si>
    <t>硫化</t>
  </si>
  <si>
    <t>{lhRemark}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</si>
</sst>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57">
    <font>
      <sz val="12"/>
      <name val="宋体"/>
      <charset val="134"/>
    </font>
    <font>
      <b/>
      <sz val="14"/>
      <color theme="1"/>
      <name val="Arial"/>
      <charset val="0"/>
    </font>
    <font>
      <sz val="12"/>
      <color theme="1"/>
      <name val="Arial"/>
      <charset val="0"/>
    </font>
    <font>
      <b/>
      <sz val="12"/>
      <color theme="1"/>
      <name val="宋体"/>
      <charset val="0"/>
    </font>
    <font>
      <sz val="12"/>
      <color theme="1"/>
      <name val="宋体"/>
      <charset val="0"/>
    </font>
    <font>
      <b/>
      <sz val="12"/>
      <color theme="1"/>
      <name val="Arial"/>
      <charset val="0"/>
    </font>
    <font>
      <sz val="12"/>
      <color rgb="FF000000"/>
      <name val="宋体"/>
      <charset val="0"/>
    </font>
    <font>
      <sz val="12"/>
      <color indexed="8"/>
      <name val="Arial"/>
      <charset val="0"/>
    </font>
    <font>
      <sz val="9"/>
      <name val="等线"/>
      <charset val="134"/>
    </font>
    <font>
      <b/>
      <sz val="11"/>
      <name val="等线"/>
      <charset val="134"/>
    </font>
    <font>
      <b/>
      <sz val="9"/>
      <color theme="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11"/>
      <color theme="1"/>
      <name val="等线"/>
      <charset val="134"/>
    </font>
    <font>
      <sz val="9"/>
      <color indexed="8"/>
      <name val="等线"/>
      <charset val="134"/>
    </font>
    <font>
      <b/>
      <sz val="9"/>
      <name val="等线"/>
      <charset val="134"/>
    </font>
    <font>
      <sz val="9"/>
      <color rgb="FFFF0000"/>
      <name val="等线"/>
      <charset val="134"/>
    </font>
    <font>
      <sz val="9"/>
      <color theme="0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"/>
      <name val="Arial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9"/>
      <color indexed="9"/>
      <name val="Arial"/>
      <charset val="134"/>
    </font>
    <font>
      <b/>
      <sz val="9"/>
      <color indexed="9"/>
      <name val="等线"/>
      <charset val="134"/>
    </font>
    <font>
      <b/>
      <sz val="9"/>
      <color indexed="9"/>
      <name val="Calibri"/>
      <charset val="163"/>
    </font>
    <font>
      <b/>
      <sz val="9"/>
      <color indexed="9"/>
      <name val="Segoe UI"/>
      <charset val="238"/>
    </font>
    <font>
      <sz val="9"/>
      <color indexed="8"/>
      <name val="Calibri"/>
      <charset val="163"/>
    </font>
    <font>
      <b/>
      <sz val="11"/>
      <color indexed="8"/>
      <name val="Cambria"/>
      <charset val="134"/>
    </font>
    <font>
      <b/>
      <sz val="11"/>
      <color indexed="8"/>
      <name val="等线"/>
      <charset val="134"/>
    </font>
    <font>
      <b/>
      <sz val="9"/>
      <color indexed="9"/>
      <name val="Cambria"/>
      <charset val="134"/>
    </font>
    <font>
      <sz val="9"/>
      <color indexed="9"/>
      <name val="Arial"/>
      <charset val="134"/>
    </font>
    <font>
      <sz val="9"/>
      <color indexed="9"/>
      <name val="Cambria"/>
      <charset val="134"/>
    </font>
    <font>
      <sz val="9"/>
      <color indexed="9"/>
      <name val="等线"/>
      <charset val="134"/>
    </font>
    <font>
      <b/>
      <sz val="9"/>
      <color indexed="9"/>
      <name val="Calibri"/>
      <charset val="134"/>
    </font>
    <font>
      <b/>
      <sz val="9"/>
      <name val="宋体"/>
      <charset val="134"/>
    </font>
    <font>
      <sz val="9"/>
      <name val="Tahoma"/>
      <charset val="134"/>
    </font>
    <font>
      <b/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6" borderId="29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30" applyNumberFormat="0" applyFill="0" applyAlignment="0" applyProtection="0">
      <alignment vertical="center"/>
    </xf>
    <xf numFmtId="0" fontId="25" fillId="0" borderId="30" applyNumberFormat="0" applyFill="0" applyAlignment="0" applyProtection="0">
      <alignment vertical="center"/>
    </xf>
    <xf numFmtId="0" fontId="26" fillId="0" borderId="31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7" borderId="32" applyNumberFormat="0" applyAlignment="0" applyProtection="0">
      <alignment vertical="center"/>
    </xf>
    <xf numFmtId="0" fontId="28" fillId="8" borderId="33" applyNumberFormat="0" applyAlignment="0" applyProtection="0">
      <alignment vertical="center"/>
    </xf>
    <xf numFmtId="0" fontId="29" fillId="8" borderId="32" applyNumberFormat="0" applyAlignment="0" applyProtection="0">
      <alignment vertical="center"/>
    </xf>
    <xf numFmtId="0" fontId="30" fillId="9" borderId="34" applyNumberFormat="0" applyAlignment="0" applyProtection="0">
      <alignment vertical="center"/>
    </xf>
    <xf numFmtId="0" fontId="31" fillId="0" borderId="35" applyNumberFormat="0" applyFill="0" applyAlignment="0" applyProtection="0">
      <alignment vertical="center"/>
    </xf>
    <xf numFmtId="0" fontId="32" fillId="0" borderId="36" applyNumberFormat="0" applyFill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/>
    <xf numFmtId="0" fontId="38" fillId="0" borderId="0">
      <alignment vertical="center"/>
    </xf>
    <xf numFmtId="0" fontId="39" fillId="0" borderId="0"/>
    <xf numFmtId="177" fontId="18" fillId="0" borderId="0"/>
    <xf numFmtId="0" fontId="40" fillId="0" borderId="0"/>
    <xf numFmtId="0" fontId="18" fillId="0" borderId="0"/>
    <xf numFmtId="178" fontId="18" fillId="0" borderId="0"/>
    <xf numFmtId="9" fontId="18" fillId="0" borderId="0" applyFont="0" applyFill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176" fontId="41" fillId="0" borderId="0" applyFont="0" applyFill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</cellStyleXfs>
  <cellXfs count="115">
    <xf numFmtId="0" fontId="0" fillId="0" borderId="0" xfId="0"/>
    <xf numFmtId="0" fontId="1" fillId="0" borderId="1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49" fontId="6" fillId="0" borderId="4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Fill="1" applyBorder="1" applyAlignment="1">
      <alignment horizontal="center" vertical="center" wrapText="1"/>
    </xf>
    <xf numFmtId="49" fontId="7" fillId="0" borderId="6" xfId="0" applyNumberFormat="1" applyFont="1" applyFill="1" applyBorder="1" applyAlignment="1">
      <alignment horizontal="center" vertical="center" wrapText="1"/>
    </xf>
    <xf numFmtId="49" fontId="7" fillId="0" borderId="4" xfId="0" applyNumberFormat="1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left" vertical="center" wrapText="1"/>
    </xf>
    <xf numFmtId="0" fontId="7" fillId="0" borderId="5" xfId="0" applyFont="1" applyFill="1" applyBorder="1" applyAlignment="1">
      <alignment horizontal="left" vertical="center" wrapText="1"/>
    </xf>
    <xf numFmtId="0" fontId="7" fillId="0" borderId="6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/>
    </xf>
    <xf numFmtId="49" fontId="7" fillId="0" borderId="1" xfId="0" applyNumberFormat="1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4" fontId="8" fillId="0" borderId="0" xfId="58" applyNumberFormat="1" applyFont="1" applyAlignment="1">
      <alignment horizontal="center" vertical="center"/>
    </xf>
    <xf numFmtId="179" fontId="8" fillId="0" borderId="0" xfId="58" applyNumberFormat="1" applyFont="1" applyAlignment="1">
      <alignment horizontal="center" vertical="center"/>
    </xf>
    <xf numFmtId="179" fontId="8" fillId="0" borderId="0" xfId="58" applyNumberFormat="1" applyFont="1" applyAlignment="1">
      <alignment horizontal="left" vertical="center"/>
    </xf>
    <xf numFmtId="179" fontId="9" fillId="0" borderId="7" xfId="58" applyNumberFormat="1" applyFont="1" applyBorder="1" applyAlignment="1">
      <alignment horizontal="center" vertical="center" wrapText="1"/>
    </xf>
    <xf numFmtId="179" fontId="9" fillId="0" borderId="8" xfId="58" applyNumberFormat="1" applyFont="1" applyBorder="1" applyAlignment="1">
      <alignment horizontal="center" vertical="center" wrapText="1"/>
    </xf>
    <xf numFmtId="179" fontId="9" fillId="0" borderId="9" xfId="58" applyNumberFormat="1" applyFont="1" applyBorder="1" applyAlignment="1">
      <alignment horizontal="center" vertical="center" wrapText="1"/>
    </xf>
    <xf numFmtId="179" fontId="8" fillId="0" borderId="10" xfId="58" applyNumberFormat="1" applyFont="1" applyBorder="1" applyAlignment="1">
      <alignment horizontal="right" vertical="center"/>
    </xf>
    <xf numFmtId="179" fontId="8" fillId="0" borderId="3" xfId="58" applyNumberFormat="1" applyFont="1" applyBorder="1" applyAlignment="1">
      <alignment horizontal="right" vertical="center"/>
    </xf>
    <xf numFmtId="179" fontId="8" fillId="0" borderId="11" xfId="58" applyNumberFormat="1" applyFont="1" applyBorder="1" applyAlignment="1">
      <alignment horizontal="right" vertical="center"/>
    </xf>
    <xf numFmtId="179" fontId="8" fillId="0" borderId="12" xfId="58" applyNumberFormat="1" applyFont="1" applyBorder="1" applyAlignment="1">
      <alignment horizontal="right" vertical="center"/>
    </xf>
    <xf numFmtId="0" fontId="10" fillId="2" borderId="13" xfId="58" applyFont="1" applyFill="1" applyBorder="1" applyAlignment="1">
      <alignment horizontal="center" vertical="top" wrapText="1"/>
    </xf>
    <xf numFmtId="0" fontId="10" fillId="2" borderId="14" xfId="58" applyFont="1" applyFill="1" applyBorder="1" applyAlignment="1">
      <alignment horizontal="center" vertical="top" wrapText="1"/>
    </xf>
    <xf numFmtId="0" fontId="10" fillId="2" borderId="15" xfId="58" applyFont="1" applyFill="1" applyBorder="1" applyAlignment="1">
      <alignment horizontal="center" vertical="top" wrapText="1"/>
    </xf>
    <xf numFmtId="0" fontId="10" fillId="2" borderId="15" xfId="58" applyFont="1" applyFill="1" applyBorder="1" applyAlignment="1">
      <alignment horizontal="center" vertical="center" wrapText="1"/>
    </xf>
    <xf numFmtId="0" fontId="10" fillId="2" borderId="16" xfId="58" applyFont="1" applyFill="1" applyBorder="1" applyAlignment="1">
      <alignment horizontal="center" vertical="top" wrapText="1"/>
    </xf>
    <xf numFmtId="0" fontId="10" fillId="2" borderId="13" xfId="58" applyFont="1" applyFill="1" applyBorder="1" applyAlignment="1">
      <alignment horizontal="center" vertical="top"/>
    </xf>
    <xf numFmtId="0" fontId="10" fillId="2" borderId="14" xfId="58" applyFont="1" applyFill="1" applyBorder="1" applyAlignment="1">
      <alignment horizontal="center" vertical="top"/>
    </xf>
    <xf numFmtId="0" fontId="10" fillId="2" borderId="15" xfId="58" applyFont="1" applyFill="1" applyBorder="1" applyAlignment="1">
      <alignment horizontal="center" vertical="top"/>
    </xf>
    <xf numFmtId="0" fontId="10" fillId="2" borderId="15" xfId="58" applyFont="1" applyFill="1" applyBorder="1" applyAlignment="1">
      <alignment horizontal="center" vertical="center"/>
    </xf>
    <xf numFmtId="0" fontId="10" fillId="2" borderId="16" xfId="58" applyFont="1" applyFill="1" applyBorder="1" applyAlignment="1">
      <alignment horizontal="center" vertical="top"/>
    </xf>
    <xf numFmtId="0" fontId="8" fillId="0" borderId="17" xfId="58" applyFont="1" applyBorder="1" applyAlignment="1">
      <alignment horizontal="center" vertical="center" wrapText="1"/>
    </xf>
    <xf numFmtId="14" fontId="8" fillId="0" borderId="1" xfId="58" applyNumberFormat="1" applyFont="1" applyBorder="1" applyAlignment="1">
      <alignment horizontal="center" vertical="center" wrapText="1"/>
    </xf>
    <xf numFmtId="180" fontId="8" fillId="0" borderId="1" xfId="58" applyNumberFormat="1" applyFont="1" applyBorder="1" applyAlignment="1">
      <alignment horizontal="center" vertical="center" wrapText="1"/>
    </xf>
    <xf numFmtId="0" fontId="8" fillId="0" borderId="1" xfId="58" applyFont="1" applyBorder="1" applyAlignment="1">
      <alignment horizontal="center" vertical="center" wrapText="1"/>
    </xf>
    <xf numFmtId="0" fontId="8" fillId="0" borderId="1" xfId="58" applyFont="1" applyBorder="1" applyAlignment="1">
      <alignment horizontal="center" vertical="center"/>
    </xf>
    <xf numFmtId="0" fontId="8" fillId="0" borderId="1" xfId="58" applyFont="1" applyBorder="1" applyAlignment="1">
      <alignment horizontal="left" vertical="center"/>
    </xf>
    <xf numFmtId="0" fontId="8" fillId="0" borderId="4" xfId="58" applyFont="1" applyBorder="1" applyAlignment="1">
      <alignment horizontal="left" vertical="center"/>
    </xf>
    <xf numFmtId="0" fontId="8" fillId="0" borderId="4" xfId="58" applyFont="1" applyBorder="1" applyAlignment="1">
      <alignment horizontal="center" vertical="center"/>
    </xf>
    <xf numFmtId="0" fontId="8" fillId="0" borderId="18" xfId="58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181" fontId="11" fillId="0" borderId="0" xfId="0" applyNumberFormat="1" applyFont="1" applyAlignment="1">
      <alignment horizontal="center" vertical="center" wrapText="1"/>
    </xf>
    <xf numFmtId="181" fontId="11" fillId="0" borderId="0" xfId="0" applyNumberFormat="1" applyFont="1" applyAlignment="1">
      <alignment horizontal="center" vertical="center"/>
    </xf>
    <xf numFmtId="181" fontId="12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81" fontId="11" fillId="0" borderId="0" xfId="0" applyNumberFormat="1" applyFont="1" applyAlignment="1">
      <alignment vertical="center"/>
    </xf>
    <xf numFmtId="181" fontId="11" fillId="0" borderId="19" xfId="0" applyNumberFormat="1" applyFont="1" applyBorder="1" applyAlignment="1">
      <alignment vertical="center" wrapText="1"/>
    </xf>
    <xf numFmtId="181" fontId="16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top" wrapText="1"/>
    </xf>
    <xf numFmtId="0" fontId="10" fillId="2" borderId="21" xfId="0" applyFont="1" applyFill="1" applyBorder="1" applyAlignment="1">
      <alignment horizontal="center" vertical="top" wrapText="1"/>
    </xf>
    <xf numFmtId="0" fontId="10" fillId="3" borderId="22" xfId="0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0" fontId="10" fillId="3" borderId="24" xfId="0" applyFont="1" applyFill="1" applyBorder="1" applyAlignment="1">
      <alignment horizontal="center" vertical="center" wrapText="1"/>
    </xf>
    <xf numFmtId="0" fontId="10" fillId="3" borderId="25" xfId="0" applyFont="1" applyFill="1" applyBorder="1" applyAlignment="1">
      <alignment horizontal="center" vertical="center" wrapText="1"/>
    </xf>
    <xf numFmtId="0" fontId="10" fillId="3" borderId="26" xfId="0" applyFont="1" applyFill="1" applyBorder="1" applyAlignment="1">
      <alignment horizontal="center" vertical="center" wrapText="1"/>
    </xf>
    <xf numFmtId="0" fontId="10" fillId="4" borderId="22" xfId="0" applyFont="1" applyFill="1" applyBorder="1" applyAlignment="1">
      <alignment horizontal="center" vertical="center"/>
    </xf>
    <xf numFmtId="0" fontId="10" fillId="4" borderId="23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0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0" fillId="5" borderId="22" xfId="0" applyFont="1" applyFill="1" applyBorder="1" applyAlignment="1">
      <alignment horizontal="center" vertical="center"/>
    </xf>
    <xf numFmtId="0" fontId="10" fillId="5" borderId="23" xfId="0" applyFont="1" applyFill="1" applyBorder="1" applyAlignment="1">
      <alignment horizontal="center" vertical="center"/>
    </xf>
    <xf numFmtId="0" fontId="10" fillId="5" borderId="24" xfId="0" applyFont="1" applyFill="1" applyBorder="1" applyAlignment="1">
      <alignment horizontal="center" vertical="center"/>
    </xf>
    <xf numFmtId="0" fontId="10" fillId="5" borderId="25" xfId="0" applyFont="1" applyFill="1" applyBorder="1" applyAlignment="1">
      <alignment horizontal="center" vertical="center"/>
    </xf>
    <xf numFmtId="0" fontId="10" fillId="5" borderId="26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 wrapText="1"/>
    </xf>
    <xf numFmtId="0" fontId="10" fillId="2" borderId="27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top"/>
    </xf>
    <xf numFmtId="0" fontId="10" fillId="2" borderId="14" xfId="0" applyFont="1" applyFill="1" applyBorder="1" applyAlignment="1">
      <alignment horizontal="center" vertical="top"/>
    </xf>
    <xf numFmtId="0" fontId="10" fillId="2" borderId="14" xfId="0" applyFont="1" applyFill="1" applyBorder="1" applyAlignment="1">
      <alignment horizontal="center" vertical="top" wrapText="1"/>
    </xf>
    <xf numFmtId="0" fontId="10" fillId="2" borderId="15" xfId="0" applyFont="1" applyFill="1" applyBorder="1" applyAlignment="1">
      <alignment horizontal="center" vertical="top" wrapText="1"/>
    </xf>
    <xf numFmtId="0" fontId="17" fillId="3" borderId="17" xfId="0" applyFont="1" applyFill="1" applyBorder="1" applyAlignment="1">
      <alignment horizontal="center" vertical="top" wrapText="1"/>
    </xf>
    <xf numFmtId="0" fontId="17" fillId="3" borderId="1" xfId="0" applyFont="1" applyFill="1" applyBorder="1" applyAlignment="1">
      <alignment horizontal="center" vertical="top" wrapText="1"/>
    </xf>
    <xf numFmtId="0" fontId="17" fillId="3" borderId="4" xfId="0" applyFont="1" applyFill="1" applyBorder="1" applyAlignment="1">
      <alignment horizontal="center" vertical="top" wrapText="1"/>
    </xf>
    <xf numFmtId="0" fontId="17" fillId="4" borderId="17" xfId="0" applyFont="1" applyFill="1" applyBorder="1" applyAlignment="1">
      <alignment horizontal="center" vertical="top" wrapText="1"/>
    </xf>
    <xf numFmtId="0" fontId="17" fillId="4" borderId="1" xfId="0" applyFont="1" applyFill="1" applyBorder="1" applyAlignment="1">
      <alignment horizontal="center" vertical="top" wrapText="1"/>
    </xf>
    <xf numFmtId="0" fontId="17" fillId="4" borderId="4" xfId="0" applyFont="1" applyFill="1" applyBorder="1" applyAlignment="1">
      <alignment horizontal="center" vertical="top" wrapText="1"/>
    </xf>
    <xf numFmtId="0" fontId="17" fillId="5" borderId="17" xfId="0" applyFont="1" applyFill="1" applyBorder="1" applyAlignment="1">
      <alignment horizontal="center" vertical="top" wrapText="1"/>
    </xf>
    <xf numFmtId="0" fontId="17" fillId="5" borderId="1" xfId="0" applyFont="1" applyFill="1" applyBorder="1" applyAlignment="1">
      <alignment horizontal="center" vertical="top" wrapText="1"/>
    </xf>
    <xf numFmtId="0" fontId="17" fillId="5" borderId="18" xfId="0" applyFont="1" applyFill="1" applyBorder="1" applyAlignment="1">
      <alignment horizontal="center" vertical="top" wrapText="1"/>
    </xf>
    <xf numFmtId="0" fontId="10" fillId="2" borderId="28" xfId="0" applyFont="1" applyFill="1" applyBorder="1" applyAlignment="1">
      <alignment horizontal="center" vertical="top" wrapText="1"/>
    </xf>
    <xf numFmtId="0" fontId="10" fillId="2" borderId="3" xfId="0" applyFont="1" applyFill="1" applyBorder="1" applyAlignment="1">
      <alignment horizontal="center" vertical="top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 wrapText="1"/>
    </xf>
    <xf numFmtId="181" fontId="12" fillId="0" borderId="17" xfId="0" applyNumberFormat="1" applyFont="1" applyBorder="1" applyAlignment="1">
      <alignment horizontal="center" vertical="center"/>
    </xf>
    <xf numFmtId="181" fontId="12" fillId="0" borderId="1" xfId="0" applyNumberFormat="1" applyFont="1" applyBorder="1" applyAlignment="1">
      <alignment horizontal="center" vertical="center"/>
    </xf>
    <xf numFmtId="181" fontId="12" fillId="0" borderId="18" xfId="0" applyNumberFormat="1" applyFont="1" applyBorder="1" applyAlignment="1">
      <alignment horizontal="center" vertical="center"/>
    </xf>
    <xf numFmtId="181" fontId="11" fillId="0" borderId="6" xfId="0" applyNumberFormat="1" applyFont="1" applyBorder="1" applyAlignment="1">
      <alignment horizontal="center" vertical="center"/>
    </xf>
    <xf numFmtId="181" fontId="11" fillId="0" borderId="1" xfId="0" applyNumberFormat="1" applyFont="1" applyBorder="1" applyAlignment="1">
      <alignment horizontal="center" vertical="center"/>
    </xf>
    <xf numFmtId="181" fontId="12" fillId="0" borderId="4" xfId="0" applyNumberFormat="1" applyFont="1" applyBorder="1" applyAlignment="1">
      <alignment horizontal="center" vertical="center"/>
    </xf>
    <xf numFmtId="0" fontId="10" fillId="3" borderId="22" xfId="0" applyFont="1" applyFill="1" applyBorder="1" applyAlignment="1" quotePrefix="1">
      <alignment horizontal="center" vertical="center" wrapText="1"/>
    </xf>
    <xf numFmtId="0" fontId="10" fillId="3" borderId="25" xfId="0" applyFont="1" applyFill="1" applyBorder="1" applyAlignment="1" quotePrefix="1">
      <alignment horizontal="center" vertical="center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91" xfId="55"/>
    <cellStyle name="Percent 2" xfId="56"/>
    <cellStyle name="常规 2" xfId="57"/>
    <cellStyle name="常规 2 5" xfId="58"/>
    <cellStyle name="千位分隔 3" xfId="59"/>
    <cellStyle name="千位分隔 3 3" xfId="6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9525</xdr:colOff>
      <xdr:row>1</xdr:row>
      <xdr:rowOff>66675</xdr:rowOff>
    </xdr:from>
    <xdr:to>
      <xdr:col>6</xdr:col>
      <xdr:colOff>352425</xdr:colOff>
      <xdr:row>3</xdr:row>
      <xdr:rowOff>152400</xdr:rowOff>
    </xdr:to>
    <xdr:pic>
      <xdr:nvPicPr>
        <xdr:cNvPr id="572799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66675"/>
          <a:ext cx="1998345" cy="6838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22860</xdr:colOff>
      <xdr:row>1</xdr:row>
      <xdr:rowOff>15240</xdr:rowOff>
    </xdr:from>
    <xdr:to>
      <xdr:col>2</xdr:col>
      <xdr:colOff>190500</xdr:colOff>
      <xdr:row>2</xdr:row>
      <xdr:rowOff>114300</xdr:rowOff>
    </xdr:to>
    <xdr:pic>
      <xdr:nvPicPr>
        <xdr:cNvPr id="2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860" y="15240"/>
          <a:ext cx="1485900" cy="527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50"/>
  </sheetPr>
  <dimension ref="A1:CF7"/>
  <sheetViews>
    <sheetView zoomScale="80" zoomScaleNormal="80" zoomScaleSheetLayoutView="50" workbookViewId="0">
      <pane xSplit="13" ySplit="6" topLeftCell="N7" activePane="bottomRight" state="frozen"/>
      <selection/>
      <selection pane="topRight"/>
      <selection pane="bottomLeft"/>
      <selection pane="bottomRight" activeCell="H36" sqref="H36"/>
    </sheetView>
  </sheetViews>
  <sheetFormatPr defaultColWidth="9.1" defaultRowHeight="11.5" outlineLevelRow="6"/>
  <cols>
    <col min="1" max="1" width="5.4" style="54" hidden="1" customWidth="1"/>
    <col min="2" max="2" width="5" style="54" hidden="1" customWidth="1"/>
    <col min="3" max="3" width="5.7" style="54" hidden="1" customWidth="1"/>
    <col min="4" max="4" width="9.1" style="54" hidden="1" customWidth="1"/>
    <col min="5" max="5" width="9.7" style="55" customWidth="1"/>
    <col min="6" max="6" width="11.9" style="56" customWidth="1"/>
    <col min="7" max="7" width="33.2" style="55" customWidth="1"/>
    <col min="8" max="8" width="36.9" style="55" customWidth="1"/>
    <col min="9" max="9" width="15.7" style="55" customWidth="1"/>
    <col min="10" max="11" width="6.4" style="56" customWidth="1"/>
    <col min="12" max="12" width="6.1" style="55" customWidth="1"/>
    <col min="13" max="13" width="6.4" style="55" customWidth="1"/>
    <col min="14" max="14" width="3.7" style="55" customWidth="1"/>
    <col min="15" max="15" width="6.7" style="55" customWidth="1"/>
    <col min="16" max="16" width="3.7" style="55" customWidth="1"/>
    <col min="17" max="17" width="4.6" style="55" customWidth="1"/>
    <col min="18" max="18" width="5.4" style="55" customWidth="1"/>
    <col min="19" max="22" width="3.7" style="55" customWidth="1"/>
    <col min="23" max="23" width="6.7" style="55" customWidth="1"/>
    <col min="24" max="24" width="3.7" style="55" customWidth="1"/>
    <col min="25" max="25" width="4.6" style="55" customWidth="1"/>
    <col min="26" max="26" width="5.4" style="55" customWidth="1"/>
    <col min="27" max="30" width="3.7" style="55" customWidth="1"/>
    <col min="31" max="31" width="6.7" style="55" customWidth="1"/>
    <col min="32" max="32" width="3.7" style="55" customWidth="1"/>
    <col min="33" max="33" width="4.6" style="55" customWidth="1"/>
    <col min="34" max="34" width="5.4" style="55" customWidth="1"/>
    <col min="35" max="38" width="3.7" style="55" customWidth="1"/>
    <col min="39" max="39" width="6.7" style="55" customWidth="1"/>
    <col min="40" max="40" width="3.7" style="55" customWidth="1"/>
    <col min="41" max="41" width="4.6" style="55" customWidth="1"/>
    <col min="42" max="42" width="5.4" style="55" customWidth="1"/>
    <col min="43" max="46" width="3.7" style="55" customWidth="1"/>
    <col min="47" max="47" width="6.7" style="55" customWidth="1"/>
    <col min="48" max="48" width="3.7" style="55" customWidth="1"/>
    <col min="49" max="49" width="4.6" style="55" customWidth="1"/>
    <col min="50" max="50" width="5.4" style="55" customWidth="1"/>
    <col min="51" max="54" width="3.7" style="55" customWidth="1"/>
    <col min="55" max="55" width="6.7" style="55" customWidth="1"/>
    <col min="56" max="56" width="3.7" style="55" customWidth="1"/>
    <col min="57" max="57" width="4.6" style="55" customWidth="1"/>
    <col min="58" max="58" width="5.4" style="55" customWidth="1"/>
    <col min="59" max="62" width="3.7" style="55" customWidth="1"/>
    <col min="63" max="63" width="6.7" style="55" customWidth="1"/>
    <col min="64" max="64" width="3.7" style="55" customWidth="1"/>
    <col min="65" max="65" width="4.6" style="55" customWidth="1"/>
    <col min="66" max="66" width="5.4" style="55" customWidth="1"/>
    <col min="67" max="70" width="3.7" style="55" customWidth="1"/>
    <col min="71" max="71" width="6.7" style="55" customWidth="1"/>
    <col min="72" max="72" width="3.7" style="55" customWidth="1"/>
    <col min="73" max="73" width="4.6" style="55" customWidth="1"/>
    <col min="74" max="74" width="5.4" style="55" customWidth="1"/>
    <col min="75" max="77" width="3.7" style="55" customWidth="1"/>
    <col min="78" max="78" width="6.6" style="55" customWidth="1"/>
    <col min="79" max="79" width="4.6" style="55" customWidth="1"/>
    <col min="80" max="80" width="9.4" style="57" customWidth="1"/>
    <col min="81" max="81" width="34.2" style="58" customWidth="1"/>
    <col min="82" max="82" width="6.7" style="56" customWidth="1"/>
    <col min="83" max="84" width="8.4" style="56" customWidth="1"/>
    <col min="85" max="92" width="9.9" style="54" customWidth="1"/>
    <col min="93" max="16384" width="9.1" style="54"/>
  </cols>
  <sheetData>
    <row r="1" hidden="1" spans="1:84">
      <c r="E1" s="55" t="s">
        <v>0</v>
      </c>
      <c r="F1" s="56" t="s">
        <v>1</v>
      </c>
      <c r="G1" s="55" t="s">
        <v>2</v>
      </c>
      <c r="H1" s="55" t="s">
        <v>3</v>
      </c>
      <c r="I1" s="55" t="s">
        <v>4</v>
      </c>
      <c r="J1" s="56" t="s">
        <v>5</v>
      </c>
      <c r="K1" s="56" t="s">
        <v>6</v>
      </c>
      <c r="L1" s="55" t="s">
        <v>7</v>
      </c>
      <c r="M1" s="55" t="s">
        <v>8</v>
      </c>
      <c r="N1" s="55" t="s">
        <v>9</v>
      </c>
      <c r="O1" s="55" t="s">
        <v>10</v>
      </c>
      <c r="P1" s="55" t="s">
        <v>11</v>
      </c>
      <c r="Q1" s="55" t="s">
        <v>12</v>
      </c>
      <c r="R1" s="55" t="s">
        <v>13</v>
      </c>
      <c r="S1" s="55" t="s">
        <v>14</v>
      </c>
      <c r="T1" s="55" t="s">
        <v>15</v>
      </c>
      <c r="U1" s="55" t="s">
        <v>16</v>
      </c>
      <c r="V1" s="55" t="s">
        <v>17</v>
      </c>
      <c r="W1" s="55" t="s">
        <v>18</v>
      </c>
      <c r="X1" s="55" t="s">
        <v>19</v>
      </c>
      <c r="Y1" s="55" t="s">
        <v>12</v>
      </c>
      <c r="Z1" s="55" t="s">
        <v>20</v>
      </c>
      <c r="AA1" s="55" t="s">
        <v>14</v>
      </c>
      <c r="AB1" s="55" t="s">
        <v>21</v>
      </c>
      <c r="AC1" s="55" t="s">
        <v>22</v>
      </c>
      <c r="AD1" s="55" t="s">
        <v>23</v>
      </c>
      <c r="AE1" s="55" t="s">
        <v>24</v>
      </c>
      <c r="AF1" s="55" t="s">
        <v>25</v>
      </c>
      <c r="AG1" s="55" t="s">
        <v>12</v>
      </c>
      <c r="AH1" s="55" t="s">
        <v>26</v>
      </c>
      <c r="AI1" s="55" t="s">
        <v>14</v>
      </c>
      <c r="AJ1" s="55" t="s">
        <v>27</v>
      </c>
      <c r="AK1" s="55" t="s">
        <v>28</v>
      </c>
      <c r="AL1" s="55" t="s">
        <v>29</v>
      </c>
      <c r="AM1" s="55" t="s">
        <v>30</v>
      </c>
      <c r="AN1" s="55" t="s">
        <v>31</v>
      </c>
      <c r="AO1" s="55" t="s">
        <v>12</v>
      </c>
      <c r="AP1" s="55" t="s">
        <v>32</v>
      </c>
      <c r="AQ1" s="55" t="s">
        <v>14</v>
      </c>
      <c r="AR1" s="55" t="s">
        <v>33</v>
      </c>
      <c r="AS1" s="55" t="s">
        <v>34</v>
      </c>
      <c r="AT1" s="55" t="s">
        <v>35</v>
      </c>
      <c r="AU1" s="55" t="s">
        <v>36</v>
      </c>
      <c r="AV1" s="55" t="s">
        <v>37</v>
      </c>
      <c r="AW1" s="55" t="s">
        <v>12</v>
      </c>
      <c r="AX1" s="55" t="s">
        <v>38</v>
      </c>
      <c r="AY1" s="55" t="s">
        <v>14</v>
      </c>
      <c r="AZ1" s="55" t="s">
        <v>39</v>
      </c>
      <c r="BA1" s="55" t="s">
        <v>40</v>
      </c>
      <c r="BB1" s="55" t="s">
        <v>41</v>
      </c>
      <c r="BC1" s="55" t="s">
        <v>42</v>
      </c>
      <c r="BD1" s="55" t="s">
        <v>43</v>
      </c>
      <c r="BE1" s="55" t="s">
        <v>12</v>
      </c>
      <c r="BF1" s="55" t="s">
        <v>44</v>
      </c>
      <c r="BG1" s="55" t="s">
        <v>14</v>
      </c>
      <c r="BH1" s="55" t="s">
        <v>45</v>
      </c>
      <c r="BI1" s="55" t="s">
        <v>46</v>
      </c>
      <c r="BJ1" s="55" t="s">
        <v>47</v>
      </c>
      <c r="BK1" s="55" t="s">
        <v>48</v>
      </c>
      <c r="BL1" s="55" t="s">
        <v>49</v>
      </c>
      <c r="BM1" s="55" t="s">
        <v>12</v>
      </c>
      <c r="BN1" s="55" t="s">
        <v>50</v>
      </c>
      <c r="BO1" s="55" t="s">
        <v>14</v>
      </c>
      <c r="BP1" s="55" t="s">
        <v>51</v>
      </c>
      <c r="BQ1" s="55" t="s">
        <v>52</v>
      </c>
      <c r="BR1" s="55" t="s">
        <v>53</v>
      </c>
      <c r="BS1" s="55" t="s">
        <v>54</v>
      </c>
      <c r="BT1" s="55" t="s">
        <v>55</v>
      </c>
      <c r="BU1" s="55" t="s">
        <v>12</v>
      </c>
      <c r="BV1" s="55" t="s">
        <v>56</v>
      </c>
      <c r="BW1" s="55" t="s">
        <v>14</v>
      </c>
      <c r="BX1" s="55" t="s">
        <v>57</v>
      </c>
      <c r="BY1" s="55" t="s">
        <v>58</v>
      </c>
      <c r="BZ1" s="55" t="s">
        <v>59</v>
      </c>
      <c r="CA1" s="55" t="s">
        <v>60</v>
      </c>
      <c r="CB1" s="57" t="s">
        <v>61</v>
      </c>
      <c r="CC1" s="58" t="s">
        <v>62</v>
      </c>
      <c r="CD1" s="56" t="s">
        <v>63</v>
      </c>
      <c r="CE1" s="56" t="s">
        <v>61</v>
      </c>
      <c r="CF1" s="56" t="s">
        <v>64</v>
      </c>
    </row>
    <row r="2" ht="29.25" customHeight="1" spans="1:84">
      <c r="A2" s="54" t="e">
        <f>#REF!</f>
        <v>#REF!</v>
      </c>
      <c r="E2" s="54"/>
      <c r="F2" s="55"/>
      <c r="G2" s="59"/>
      <c r="H2" s="59" t="s">
        <v>65</v>
      </c>
      <c r="I2" s="59"/>
      <c r="J2" s="54"/>
      <c r="K2" s="54"/>
      <c r="L2" s="54"/>
      <c r="M2" s="54"/>
      <c r="N2" s="54"/>
      <c r="O2" s="56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60" t="s">
        <v>66</v>
      </c>
      <c r="AW2" s="54"/>
      <c r="AX2" s="54"/>
      <c r="AY2" s="54"/>
      <c r="AZ2" s="54"/>
      <c r="BA2" s="56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</row>
    <row r="3" s="52" customFormat="1" ht="17.85" customHeight="1" spans="1:84">
      <c r="A3" s="61"/>
      <c r="B3" s="61"/>
      <c r="C3" s="61"/>
      <c r="E3" s="62"/>
      <c r="F3" s="62"/>
      <c r="G3" s="62"/>
      <c r="H3" s="62"/>
      <c r="I3" s="62"/>
      <c r="J3" s="62"/>
      <c r="K3" s="62"/>
      <c r="M3" s="52" t="s">
        <v>67</v>
      </c>
      <c r="N3" s="62"/>
      <c r="O3" s="62">
        <f>SUM(O7:O108138)</f>
        <v>0</v>
      </c>
      <c r="P3" s="62"/>
      <c r="Q3" s="62"/>
      <c r="R3" s="63"/>
      <c r="S3" s="63"/>
      <c r="T3" s="63"/>
      <c r="U3" s="63"/>
      <c r="V3" s="64"/>
      <c r="W3" s="63">
        <f>SUM(W7:W108138)</f>
        <v>0</v>
      </c>
      <c r="X3" s="63"/>
      <c r="Y3" s="63"/>
      <c r="Z3" s="63"/>
      <c r="AA3" s="64"/>
      <c r="AB3" s="63"/>
      <c r="AC3" s="63"/>
      <c r="AD3" s="63"/>
      <c r="AE3" s="63" t="e">
        <f>SUM(CB7:CB108138)</f>
        <v>#VALUE!</v>
      </c>
      <c r="AF3" s="64"/>
      <c r="AG3" s="63"/>
      <c r="AH3" s="63"/>
      <c r="AI3" s="63"/>
      <c r="AJ3" s="63"/>
      <c r="AK3" s="64"/>
      <c r="AL3" s="63"/>
      <c r="AM3" s="63">
        <f>SUM(AM7:AM108138)</f>
        <v>0</v>
      </c>
      <c r="AN3" s="63"/>
      <c r="AO3" s="63"/>
      <c r="AP3" s="64"/>
      <c r="AQ3" s="63"/>
      <c r="AR3" s="63"/>
      <c r="AS3" s="63"/>
      <c r="AT3" s="63"/>
      <c r="AU3" s="64">
        <f>SUM(AU7:AU108138)</f>
        <v>0</v>
      </c>
      <c r="AV3" s="63"/>
      <c r="AW3" s="63"/>
      <c r="AX3" s="63"/>
      <c r="AY3" s="63"/>
      <c r="AZ3" s="64"/>
      <c r="BA3" s="63"/>
      <c r="BB3" s="63"/>
      <c r="BC3" s="63">
        <f>SUM(BC7:BC108138)</f>
        <v>0</v>
      </c>
      <c r="BD3" s="63"/>
      <c r="BE3" s="64"/>
      <c r="BF3" s="62"/>
      <c r="BG3" s="62"/>
      <c r="BH3" s="62"/>
      <c r="BJ3" s="65"/>
      <c r="BK3" s="63">
        <f>SUM(BK7:BK108138)</f>
        <v>0</v>
      </c>
      <c r="BS3" s="63">
        <f>SUM(BS7:BS108138)</f>
        <v>0</v>
      </c>
      <c r="BZ3" s="63">
        <f>BC3+BK3+BS3</f>
        <v>0</v>
      </c>
      <c r="CB3" s="63" t="e">
        <f>O3+W3+AE3+AM3+AU3+BC3+BK3+BS3</f>
        <v>#VALUE!</v>
      </c>
      <c r="CD3" s="66"/>
    </row>
    <row r="4" s="52" customFormat="1" ht="17.85" customHeight="1" spans="1:84">
      <c r="A4" s="61"/>
      <c r="B4" s="61"/>
      <c r="C4" s="61"/>
      <c r="E4" s="62"/>
      <c r="F4" s="62"/>
      <c r="G4" s="62"/>
      <c r="H4" s="62"/>
      <c r="I4" s="62"/>
      <c r="J4" s="62"/>
      <c r="K4" s="62"/>
      <c r="M4" s="52" t="s">
        <v>68</v>
      </c>
      <c r="N4" s="62"/>
      <c r="O4" s="62"/>
      <c r="P4" s="62"/>
      <c r="Q4" s="62" t="s">
        <v>69</v>
      </c>
      <c r="R4" s="63"/>
      <c r="S4" s="63"/>
      <c r="T4" s="63"/>
      <c r="U4" s="63"/>
      <c r="V4" s="64"/>
      <c r="W4" s="63"/>
      <c r="X4" s="63"/>
      <c r="Y4" s="63" t="s">
        <v>70</v>
      </c>
      <c r="Z4" s="63"/>
      <c r="AA4" s="64"/>
      <c r="AB4" s="63"/>
      <c r="AC4" s="63"/>
      <c r="AD4" s="63"/>
      <c r="AE4" s="63"/>
      <c r="AO4" s="64" t="s">
        <v>71</v>
      </c>
      <c r="AP4" s="63"/>
      <c r="AQ4" s="63"/>
      <c r="AR4" s="63"/>
      <c r="AS4" s="63"/>
      <c r="AT4" s="64"/>
      <c r="AU4" s="63"/>
      <c r="AV4" s="63"/>
      <c r="AW4" s="63" t="s">
        <v>72</v>
      </c>
      <c r="AX4" s="63"/>
      <c r="AY4" s="64"/>
      <c r="AZ4" s="63"/>
      <c r="BA4" s="63"/>
      <c r="BB4" s="63"/>
      <c r="BC4" s="63"/>
      <c r="BD4" s="64"/>
      <c r="BL4" s="63"/>
      <c r="BM4" s="63" t="s">
        <v>73</v>
      </c>
      <c r="BN4" s="63"/>
      <c r="BO4" s="63"/>
      <c r="BP4" s="64"/>
      <c r="BQ4" s="63"/>
      <c r="BR4" s="63"/>
      <c r="BS4" s="63"/>
      <c r="BT4" s="63"/>
      <c r="BU4" s="63" t="s">
        <v>74</v>
      </c>
      <c r="BW4" s="62"/>
      <c r="BZ4" s="63"/>
      <c r="CB4" s="63"/>
      <c r="CD4" s="67"/>
    </row>
    <row r="5" ht="36" customHeight="1" spans="1:84">
      <c r="A5" s="68">
        <f>BC3+BK3+BS3</f>
        <v>0</v>
      </c>
      <c r="B5" s="68"/>
      <c r="C5" s="56"/>
      <c r="D5" s="69"/>
      <c r="E5" s="70" t="s">
        <v>75</v>
      </c>
      <c r="F5" s="70" t="s">
        <v>76</v>
      </c>
      <c r="G5" s="70" t="s">
        <v>77</v>
      </c>
      <c r="H5" s="70" t="s">
        <v>78</v>
      </c>
      <c r="I5" s="70" t="s">
        <v>79</v>
      </c>
      <c r="J5" s="70" t="s">
        <v>80</v>
      </c>
      <c r="K5" s="70" t="s">
        <v>81</v>
      </c>
      <c r="L5" s="70" t="s">
        <v>82</v>
      </c>
      <c r="M5" s="71" t="s">
        <v>83</v>
      </c>
      <c r="N5" s="115" t="s">
        <v>84</v>
      </c>
      <c r="O5" s="73"/>
      <c r="P5" s="73"/>
      <c r="Q5" s="73"/>
      <c r="R5" s="73"/>
      <c r="S5" s="73"/>
      <c r="T5" s="73"/>
      <c r="U5" s="74"/>
      <c r="V5" s="116" t="s">
        <v>85</v>
      </c>
      <c r="W5" s="73"/>
      <c r="X5" s="73"/>
      <c r="Y5" s="73"/>
      <c r="Z5" s="73"/>
      <c r="AA5" s="73"/>
      <c r="AB5" s="73"/>
      <c r="AC5" s="76"/>
      <c r="AD5" s="77" t="s">
        <v>86</v>
      </c>
      <c r="AE5" s="78"/>
      <c r="AF5" s="78"/>
      <c r="AG5" s="78"/>
      <c r="AH5" s="78"/>
      <c r="AI5" s="78"/>
      <c r="AJ5" s="78"/>
      <c r="AK5" s="79"/>
      <c r="AL5" s="80" t="s">
        <v>87</v>
      </c>
      <c r="AM5" s="78"/>
      <c r="AN5" s="78"/>
      <c r="AO5" s="78"/>
      <c r="AP5" s="78"/>
      <c r="AQ5" s="78"/>
      <c r="AR5" s="78"/>
      <c r="AS5" s="79"/>
      <c r="AT5" s="80" t="s">
        <v>88</v>
      </c>
      <c r="AU5" s="78"/>
      <c r="AV5" s="78"/>
      <c r="AW5" s="78"/>
      <c r="AX5" s="78"/>
      <c r="AY5" s="78"/>
      <c r="AZ5" s="78"/>
      <c r="BA5" s="81"/>
      <c r="BB5" s="82" t="s">
        <v>89</v>
      </c>
      <c r="BC5" s="83"/>
      <c r="BD5" s="83"/>
      <c r="BE5" s="83"/>
      <c r="BF5" s="83"/>
      <c r="BG5" s="83"/>
      <c r="BH5" s="83"/>
      <c r="BI5" s="84"/>
      <c r="BJ5" s="85" t="s">
        <v>90</v>
      </c>
      <c r="BK5" s="83"/>
      <c r="BL5" s="83"/>
      <c r="BM5" s="83"/>
      <c r="BN5" s="83"/>
      <c r="BO5" s="83"/>
      <c r="BP5" s="83"/>
      <c r="BQ5" s="84"/>
      <c r="BR5" s="85" t="s">
        <v>91</v>
      </c>
      <c r="BS5" s="83"/>
      <c r="BT5" s="83"/>
      <c r="BU5" s="83"/>
      <c r="BV5" s="83"/>
      <c r="BW5" s="83"/>
      <c r="BX5" s="83"/>
      <c r="BY5" s="86"/>
      <c r="BZ5" s="87" t="s">
        <v>92</v>
      </c>
      <c r="CA5" s="88"/>
      <c r="CB5" s="70" t="s">
        <v>93</v>
      </c>
      <c r="CC5" s="70" t="s">
        <v>94</v>
      </c>
      <c r="CD5" s="71" t="s">
        <v>95</v>
      </c>
      <c r="CE5" s="70" t="s">
        <v>96</v>
      </c>
      <c r="CF5" s="70" t="s">
        <v>97</v>
      </c>
    </row>
    <row r="6" s="53" customFormat="1" ht="69" spans="1:84">
      <c r="A6" s="53" t="s">
        <v>98</v>
      </c>
      <c r="B6" s="53" t="s">
        <v>99</v>
      </c>
      <c r="C6" s="89" t="s">
        <v>99</v>
      </c>
      <c r="D6" s="69"/>
      <c r="E6" s="90" t="s">
        <v>100</v>
      </c>
      <c r="F6" s="90" t="s">
        <v>101</v>
      </c>
      <c r="G6" s="90" t="s">
        <v>102</v>
      </c>
      <c r="H6" s="90" t="s">
        <v>103</v>
      </c>
      <c r="I6" s="90"/>
      <c r="J6" s="90" t="s">
        <v>104</v>
      </c>
      <c r="K6" s="90" t="s">
        <v>105</v>
      </c>
      <c r="L6" s="91"/>
      <c r="M6" s="92" t="s">
        <v>106</v>
      </c>
      <c r="N6" s="93" t="s">
        <v>107</v>
      </c>
      <c r="O6" s="94" t="s">
        <v>108</v>
      </c>
      <c r="P6" s="94" t="s">
        <v>109</v>
      </c>
      <c r="Q6" s="94" t="s">
        <v>110</v>
      </c>
      <c r="R6" s="94" t="s">
        <v>111</v>
      </c>
      <c r="S6" s="94" t="s">
        <v>112</v>
      </c>
      <c r="T6" s="94" t="s">
        <v>113</v>
      </c>
      <c r="U6" s="94" t="s">
        <v>114</v>
      </c>
      <c r="V6" s="94" t="s">
        <v>107</v>
      </c>
      <c r="W6" s="94" t="s">
        <v>108</v>
      </c>
      <c r="X6" s="94" t="s">
        <v>109</v>
      </c>
      <c r="Y6" s="94" t="s">
        <v>110</v>
      </c>
      <c r="Z6" s="94" t="s">
        <v>111</v>
      </c>
      <c r="AA6" s="94" t="s">
        <v>112</v>
      </c>
      <c r="AB6" s="94" t="s">
        <v>113</v>
      </c>
      <c r="AC6" s="95" t="s">
        <v>114</v>
      </c>
      <c r="AD6" s="96" t="s">
        <v>107</v>
      </c>
      <c r="AE6" s="97" t="s">
        <v>108</v>
      </c>
      <c r="AF6" s="97" t="s">
        <v>109</v>
      </c>
      <c r="AG6" s="97" t="s">
        <v>110</v>
      </c>
      <c r="AH6" s="97" t="s">
        <v>111</v>
      </c>
      <c r="AI6" s="97" t="s">
        <v>112</v>
      </c>
      <c r="AJ6" s="97" t="s">
        <v>113</v>
      </c>
      <c r="AK6" s="97" t="s">
        <v>114</v>
      </c>
      <c r="AL6" s="97" t="s">
        <v>115</v>
      </c>
      <c r="AM6" s="97" t="s">
        <v>108</v>
      </c>
      <c r="AN6" s="97" t="s">
        <v>109</v>
      </c>
      <c r="AO6" s="97" t="s">
        <v>110</v>
      </c>
      <c r="AP6" s="97" t="s">
        <v>111</v>
      </c>
      <c r="AQ6" s="97" t="s">
        <v>112</v>
      </c>
      <c r="AR6" s="97" t="s">
        <v>113</v>
      </c>
      <c r="AS6" s="97" t="s">
        <v>114</v>
      </c>
      <c r="AT6" s="97" t="s">
        <v>107</v>
      </c>
      <c r="AU6" s="97" t="s">
        <v>108</v>
      </c>
      <c r="AV6" s="97" t="s">
        <v>109</v>
      </c>
      <c r="AW6" s="97" t="s">
        <v>110</v>
      </c>
      <c r="AX6" s="97" t="s">
        <v>111</v>
      </c>
      <c r="AY6" s="97" t="s">
        <v>112</v>
      </c>
      <c r="AZ6" s="97" t="s">
        <v>113</v>
      </c>
      <c r="BA6" s="98" t="s">
        <v>114</v>
      </c>
      <c r="BB6" s="99" t="s">
        <v>107</v>
      </c>
      <c r="BC6" s="100" t="s">
        <v>108</v>
      </c>
      <c r="BD6" s="100" t="s">
        <v>109</v>
      </c>
      <c r="BE6" s="100" t="s">
        <v>110</v>
      </c>
      <c r="BF6" s="100" t="s">
        <v>111</v>
      </c>
      <c r="BG6" s="100" t="s">
        <v>112</v>
      </c>
      <c r="BH6" s="100" t="s">
        <v>113</v>
      </c>
      <c r="BI6" s="100" t="s">
        <v>114</v>
      </c>
      <c r="BJ6" s="100" t="s">
        <v>107</v>
      </c>
      <c r="BK6" s="100" t="s">
        <v>108</v>
      </c>
      <c r="BL6" s="100" t="s">
        <v>109</v>
      </c>
      <c r="BM6" s="100" t="s">
        <v>110</v>
      </c>
      <c r="BN6" s="100" t="s">
        <v>111</v>
      </c>
      <c r="BO6" s="100" t="s">
        <v>112</v>
      </c>
      <c r="BP6" s="100" t="s">
        <v>113</v>
      </c>
      <c r="BQ6" s="100" t="s">
        <v>114</v>
      </c>
      <c r="BR6" s="100" t="s">
        <v>107</v>
      </c>
      <c r="BS6" s="100" t="s">
        <v>108</v>
      </c>
      <c r="BT6" s="100" t="s">
        <v>109</v>
      </c>
      <c r="BU6" s="100" t="s">
        <v>110</v>
      </c>
      <c r="BV6" s="100" t="s">
        <v>111</v>
      </c>
      <c r="BW6" s="100" t="s">
        <v>112</v>
      </c>
      <c r="BX6" s="100" t="s">
        <v>113</v>
      </c>
      <c r="BY6" s="101" t="s">
        <v>114</v>
      </c>
      <c r="BZ6" s="102" t="s">
        <v>116</v>
      </c>
      <c r="CA6" s="70" t="s">
        <v>109</v>
      </c>
      <c r="CB6" s="90" t="s">
        <v>117</v>
      </c>
      <c r="CC6" s="90" t="s">
        <v>118</v>
      </c>
      <c r="CD6" s="103"/>
      <c r="CE6" s="90" t="s">
        <v>119</v>
      </c>
      <c r="CF6" s="90" t="s">
        <v>120</v>
      </c>
    </row>
    <row r="7" ht="46" spans="1:84">
      <c r="E7" s="104" t="s">
        <v>121</v>
      </c>
      <c r="F7" s="105" t="s">
        <v>122</v>
      </c>
      <c r="G7" s="106" t="s">
        <v>123</v>
      </c>
      <c r="H7" s="107" t="s">
        <v>124</v>
      </c>
      <c r="I7" s="107" t="s">
        <v>125</v>
      </c>
      <c r="J7" s="104" t="e">
        <f>CF7-CE7</f>
        <v>#VALUE!</v>
      </c>
      <c r="K7" s="104" t="s">
        <v>126</v>
      </c>
      <c r="L7" s="104" t="s">
        <v>127</v>
      </c>
      <c r="M7" s="108" t="s">
        <v>128</v>
      </c>
      <c r="N7" s="109" t="s">
        <v>129</v>
      </c>
      <c r="O7" s="110" t="s">
        <v>130</v>
      </c>
      <c r="P7" s="110" t="s">
        <v>131</v>
      </c>
      <c r="Q7" s="110" t="s">
        <v>132</v>
      </c>
      <c r="R7" s="110" t="s">
        <v>133</v>
      </c>
      <c r="S7" s="110" t="s">
        <v>134</v>
      </c>
      <c r="T7" s="110" t="s">
        <v>135</v>
      </c>
      <c r="U7" s="110" t="s">
        <v>136</v>
      </c>
      <c r="V7" s="110" t="s">
        <v>137</v>
      </c>
      <c r="W7" s="110" t="s">
        <v>138</v>
      </c>
      <c r="X7" s="110" t="s">
        <v>139</v>
      </c>
      <c r="Y7" s="110" t="s">
        <v>140</v>
      </c>
      <c r="Z7" s="110" t="s">
        <v>141</v>
      </c>
      <c r="AA7" s="110" t="s">
        <v>142</v>
      </c>
      <c r="AB7" s="110" t="s">
        <v>143</v>
      </c>
      <c r="AC7" s="110" t="s">
        <v>144</v>
      </c>
      <c r="AD7" s="110" t="s">
        <v>145</v>
      </c>
      <c r="AE7" s="110" t="s">
        <v>146</v>
      </c>
      <c r="AF7" s="110" t="s">
        <v>147</v>
      </c>
      <c r="AG7" s="110" t="s">
        <v>148</v>
      </c>
      <c r="AH7" s="110" t="s">
        <v>149</v>
      </c>
      <c r="AI7" s="110" t="s">
        <v>150</v>
      </c>
      <c r="AJ7" s="110" t="s">
        <v>151</v>
      </c>
      <c r="AK7" s="110" t="s">
        <v>152</v>
      </c>
      <c r="AL7" s="110" t="s">
        <v>153</v>
      </c>
      <c r="AM7" s="110" t="s">
        <v>154</v>
      </c>
      <c r="AN7" s="110" t="s">
        <v>155</v>
      </c>
      <c r="AO7" s="110" t="s">
        <v>156</v>
      </c>
      <c r="AP7" s="110" t="s">
        <v>157</v>
      </c>
      <c r="AQ7" s="110" t="s">
        <v>158</v>
      </c>
      <c r="AR7" s="110" t="s">
        <v>159</v>
      </c>
      <c r="AS7" s="110" t="s">
        <v>160</v>
      </c>
      <c r="AT7" s="110" t="s">
        <v>161</v>
      </c>
      <c r="AU7" s="110" t="s">
        <v>162</v>
      </c>
      <c r="AV7" s="110" t="s">
        <v>163</v>
      </c>
      <c r="AW7" s="110" t="s">
        <v>164</v>
      </c>
      <c r="AX7" s="110" t="s">
        <v>165</v>
      </c>
      <c r="AY7" s="110" t="s">
        <v>166</v>
      </c>
      <c r="AZ7" s="110" t="s">
        <v>167</v>
      </c>
      <c r="BA7" s="110" t="s">
        <v>168</v>
      </c>
      <c r="BB7" s="110" t="s">
        <v>169</v>
      </c>
      <c r="BC7" s="110" t="s">
        <v>170</v>
      </c>
      <c r="BD7" s="110" t="s">
        <v>171</v>
      </c>
      <c r="BE7" s="110" t="s">
        <v>172</v>
      </c>
      <c r="BF7" s="110" t="s">
        <v>173</v>
      </c>
      <c r="BG7" s="110" t="s">
        <v>174</v>
      </c>
      <c r="BH7" s="110" t="s">
        <v>175</v>
      </c>
      <c r="BI7" s="110" t="s">
        <v>176</v>
      </c>
      <c r="BJ7" s="110" t="s">
        <v>177</v>
      </c>
      <c r="BK7" s="110" t="s">
        <v>178</v>
      </c>
      <c r="BL7" s="110" t="s">
        <v>179</v>
      </c>
      <c r="BM7" s="110" t="s">
        <v>180</v>
      </c>
      <c r="BN7" s="110" t="s">
        <v>181</v>
      </c>
      <c r="BO7" s="110" t="s">
        <v>182</v>
      </c>
      <c r="BP7" s="110" t="s">
        <v>183</v>
      </c>
      <c r="BQ7" s="110" t="s">
        <v>184</v>
      </c>
      <c r="BR7" s="110" t="s">
        <v>185</v>
      </c>
      <c r="BS7" s="110" t="s">
        <v>186</v>
      </c>
      <c r="BT7" s="110" t="s">
        <v>187</v>
      </c>
      <c r="BU7" s="110" t="s">
        <v>188</v>
      </c>
      <c r="BV7" s="110" t="s">
        <v>189</v>
      </c>
      <c r="BW7" s="110" t="s">
        <v>190</v>
      </c>
      <c r="BX7" s="110" t="s">
        <v>191</v>
      </c>
      <c r="BY7" s="111" t="s">
        <v>192</v>
      </c>
      <c r="BZ7" s="112" t="e">
        <f>BC7+BK7+BS7</f>
        <v>#VALUE!</v>
      </c>
      <c r="CA7" s="113" t="e">
        <f>BL7+BT7+BD7</f>
        <v>#VALUE!</v>
      </c>
      <c r="CB7" s="113" t="e">
        <f>O7+W7+AE7+AM7+AU7+BC7+BK7+BS7</f>
        <v>#VALUE!</v>
      </c>
      <c r="CC7" s="105" t="s">
        <v>193</v>
      </c>
      <c r="CD7" s="114" t="s">
        <v>194</v>
      </c>
      <c r="CE7" s="114" t="s">
        <v>195</v>
      </c>
      <c r="CF7" s="105" t="s">
        <v>196</v>
      </c>
    </row>
  </sheetData>
  <autoFilter xmlns:etc="http://www.wps.cn/officeDocument/2017/etCustomData" ref="A6:CF7" etc:filterBottomFollowUsedRange="0">
    <extLst/>
  </autoFilter>
  <mergeCells count="9">
    <mergeCell ref="N5:U5"/>
    <mergeCell ref="V5:AC5"/>
    <mergeCell ref="AD5:AK5"/>
    <mergeCell ref="AL5:AS5"/>
    <mergeCell ref="AT5:BA5"/>
    <mergeCell ref="BB5:BI5"/>
    <mergeCell ref="BJ5:BQ5"/>
    <mergeCell ref="BR5:BY5"/>
    <mergeCell ref="BZ5:CA5"/>
  </mergeCells>
  <conditionalFormatting sqref="CD5">
    <cfRule type="duplicateValues" dxfId="0" priority="1" stopIfTrue="1"/>
  </conditionalFormatting>
  <conditionalFormatting sqref="G3:G4">
    <cfRule type="duplicateValues" dxfId="0" priority="13" stopIfTrue="1"/>
  </conditionalFormatting>
  <conditionalFormatting sqref="L5:L6">
    <cfRule type="duplicateValues" dxfId="0" priority="24207" stopIfTrue="1"/>
  </conditionalFormatting>
  <conditionalFormatting sqref="M5:M6">
    <cfRule type="duplicateValues" dxfId="0" priority="24210" stopIfTrue="1"/>
  </conditionalFormatting>
  <conditionalFormatting sqref="H5:I6">
    <cfRule type="duplicateValues" dxfId="0" priority="24201" stopIfTrue="1"/>
  </conditionalFormatting>
  <conditionalFormatting sqref="J5:K6">
    <cfRule type="duplicateValues" dxfId="0" priority="24204" stopIfTrue="1"/>
  </conditionalFormatting>
  <dataValidations count="1">
    <dataValidation type="list" allowBlank="1" showInputMessage="1" showErrorMessage="1" sqref="R6 Z6 AH6 AP6 AX6 BF6 BN6 BV6">
      <formula1>"正常,首检,试验,收尾,量试"</formula1>
    </dataValidation>
  </dataValidations>
  <pageMargins left="0.196850393700787" right="0.196850393700787" top="0.196850393700787" bottom="0.196850393700787" header="0.31496062992126" footer="0.31496062992126"/>
  <pageSetup paperSize="9" scale="23" orientation="landscape"/>
  <headerFooter/>
  <colBreaks count="1" manualBreakCount="1">
    <brk id="82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P6"/>
  <sheetViews>
    <sheetView zoomScale="70" zoomScaleNormal="70" topLeftCell="A2" workbookViewId="0">
      <selection activeCell="I63" sqref="I63"/>
    </sheetView>
  </sheetViews>
  <sheetFormatPr defaultColWidth="8" defaultRowHeight="11.5" outlineLevelRow="5"/>
  <cols>
    <col min="1" max="1" width="5.9" style="22" customWidth="1"/>
    <col min="2" max="2" width="11.4" style="23" customWidth="1"/>
    <col min="3" max="4" width="11.4" style="24" customWidth="1"/>
    <col min="5" max="5" width="8" style="22" customWidth="1"/>
    <col min="6" max="6" width="14.3" style="24" customWidth="1"/>
    <col min="7" max="7" width="14.3" style="22" customWidth="1"/>
    <col min="8" max="8" width="35.4" style="24" customWidth="1"/>
    <col min="9" max="9" width="14.3" style="22" customWidth="1"/>
    <col min="10" max="10" width="35.4" style="25" customWidth="1"/>
    <col min="11" max="11" width="10.7" style="25" customWidth="1"/>
    <col min="12" max="14" width="6.9" style="24" customWidth="1"/>
    <col min="15" max="15" width="23.2" style="24" customWidth="1"/>
    <col min="16" max="16" width="21.1" style="24" customWidth="1"/>
    <col min="17" max="16384" width="8" style="24"/>
  </cols>
  <sheetData>
    <row r="1" ht="12.25" hidden="1" spans="1:16">
      <c r="B1" s="23" t="s">
        <v>197</v>
      </c>
      <c r="C1" s="24" t="s">
        <v>198</v>
      </c>
      <c r="D1" s="24" t="s">
        <v>199</v>
      </c>
      <c r="E1" s="22" t="s">
        <v>200</v>
      </c>
      <c r="F1" s="24" t="s">
        <v>12</v>
      </c>
      <c r="G1" s="22" t="s">
        <v>201</v>
      </c>
      <c r="H1" s="24" t="s">
        <v>202</v>
      </c>
      <c r="I1" s="22" t="s">
        <v>203</v>
      </c>
      <c r="J1" s="25" t="s">
        <v>204</v>
      </c>
      <c r="O1" s="24" t="s">
        <v>205</v>
      </c>
      <c r="P1" s="24" t="s">
        <v>62</v>
      </c>
    </row>
    <row r="2" ht="33.75" customHeight="1" spans="1:16">
      <c r="A2" s="26" t="s">
        <v>206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8"/>
    </row>
    <row r="3" ht="15.75" customHeight="1" spans="1:16">
      <c r="A3" s="29" t="s">
        <v>207</v>
      </c>
      <c r="B3" s="30"/>
      <c r="C3" s="30"/>
      <c r="D3" s="30"/>
      <c r="E3" s="30"/>
      <c r="F3" s="30"/>
      <c r="G3" s="30"/>
      <c r="H3" s="30"/>
      <c r="I3" s="30"/>
      <c r="J3" s="30"/>
      <c r="K3" s="31"/>
      <c r="L3" s="31"/>
      <c r="M3" s="31"/>
      <c r="N3" s="31"/>
      <c r="O3" s="31"/>
      <c r="P3" s="32"/>
    </row>
    <row r="4" ht="25.2" customHeight="1" spans="1:16">
      <c r="A4" s="33" t="s">
        <v>208</v>
      </c>
      <c r="B4" s="34" t="s">
        <v>209</v>
      </c>
      <c r="C4" s="34" t="s">
        <v>210</v>
      </c>
      <c r="D4" s="34" t="s">
        <v>211</v>
      </c>
      <c r="E4" s="34" t="s">
        <v>212</v>
      </c>
      <c r="F4" s="34" t="s">
        <v>213</v>
      </c>
      <c r="G4" s="34" t="s">
        <v>214</v>
      </c>
      <c r="H4" s="34" t="s">
        <v>77</v>
      </c>
      <c r="I4" s="34" t="s">
        <v>215</v>
      </c>
      <c r="J4" s="34" t="s">
        <v>77</v>
      </c>
      <c r="K4" s="35" t="s">
        <v>216</v>
      </c>
      <c r="L4" s="36" t="s">
        <v>217</v>
      </c>
      <c r="M4" s="36" t="s">
        <v>218</v>
      </c>
      <c r="N4" s="36" t="s">
        <v>219</v>
      </c>
      <c r="O4" s="36" t="s">
        <v>220</v>
      </c>
      <c r="P4" s="37" t="s">
        <v>94</v>
      </c>
    </row>
    <row r="5" ht="40" spans="1:16">
      <c r="A5" s="38" t="s">
        <v>221</v>
      </c>
      <c r="B5" s="39" t="s">
        <v>222</v>
      </c>
      <c r="C5" s="39" t="s">
        <v>223</v>
      </c>
      <c r="D5" s="39" t="s">
        <v>100</v>
      </c>
      <c r="E5" s="34" t="s">
        <v>224</v>
      </c>
      <c r="F5" s="34" t="s">
        <v>225</v>
      </c>
      <c r="G5" s="34" t="s">
        <v>226</v>
      </c>
      <c r="H5" s="39" t="s">
        <v>227</v>
      </c>
      <c r="I5" s="34" t="s">
        <v>228</v>
      </c>
      <c r="J5" s="39" t="s">
        <v>229</v>
      </c>
      <c r="K5" s="40"/>
      <c r="L5" s="41"/>
      <c r="M5" s="41"/>
      <c r="N5" s="41"/>
      <c r="O5" s="41"/>
      <c r="P5" s="42" t="s">
        <v>118</v>
      </c>
    </row>
    <row r="6" ht="23.7" customHeight="1" spans="1:16">
      <c r="A6" s="43" t="s">
        <v>230</v>
      </c>
      <c r="B6" s="44" t="s">
        <v>231</v>
      </c>
      <c r="C6" s="45" t="s">
        <v>232</v>
      </c>
      <c r="D6" s="46" t="s">
        <v>121</v>
      </c>
      <c r="E6" s="46" t="s">
        <v>233</v>
      </c>
      <c r="F6" s="47" t="s">
        <v>234</v>
      </c>
      <c r="G6" s="47" t="s">
        <v>235</v>
      </c>
      <c r="H6" s="47" t="s">
        <v>236</v>
      </c>
      <c r="I6" s="46" t="s">
        <v>237</v>
      </c>
      <c r="J6" s="48" t="s">
        <v>238</v>
      </c>
      <c r="K6" s="49" t="s">
        <v>239</v>
      </c>
      <c r="L6" s="50" t="s">
        <v>240</v>
      </c>
      <c r="M6" s="50" t="s">
        <v>241</v>
      </c>
      <c r="N6" s="50" t="s">
        <v>242</v>
      </c>
      <c r="O6" s="50" t="s">
        <v>243</v>
      </c>
      <c r="P6" s="51" t="s">
        <v>193</v>
      </c>
    </row>
  </sheetData>
  <autoFilter xmlns:etc="http://www.wps.cn/officeDocument/2017/etCustomData" ref="A5:P6" etc:filterBottomFollowUsedRange="0">
    <extLst/>
  </autoFilter>
  <mergeCells count="2">
    <mergeCell ref="A2:P2"/>
    <mergeCell ref="A3:P3"/>
  </mergeCells>
  <pageMargins left="0.7" right="0.7" top="0.75" bottom="0.75" header="0.3" footer="0.3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F14"/>
  <sheetViews>
    <sheetView tabSelected="1" workbookViewId="0">
      <selection activeCell="F6" sqref="F6"/>
    </sheetView>
  </sheetViews>
  <sheetFormatPr defaultColWidth="8.66666666666667" defaultRowHeight="15" outlineLevelCol="5"/>
  <cols>
    <col min="1" max="1" width="18.0833333333333" customWidth="1"/>
    <col min="2" max="2" width="19.75" customWidth="1"/>
    <col min="3" max="3" width="17.4166666666667" customWidth="1"/>
    <col min="4" max="4" width="18.5" customWidth="1"/>
    <col min="5" max="5" width="21.75" customWidth="1"/>
  </cols>
  <sheetData>
    <row r="1" ht="18" spans="1:6">
      <c r="A1" s="1" t="s">
        <v>244</v>
      </c>
      <c r="B1" s="1"/>
      <c r="C1" s="1"/>
      <c r="D1" s="1"/>
      <c r="E1" s="1"/>
      <c r="F1" s="2"/>
    </row>
    <row r="2" ht="15.5" spans="1:6">
      <c r="A2" s="3" t="s">
        <v>245</v>
      </c>
      <c r="B2" s="4" t="s">
        <v>246</v>
      </c>
      <c r="C2" s="4" t="s">
        <v>247</v>
      </c>
      <c r="D2" s="4" t="s">
        <v>248</v>
      </c>
      <c r="E2" s="4" t="s">
        <v>249</v>
      </c>
      <c r="F2" s="2"/>
    </row>
    <row r="3" ht="15.5" spans="1:6">
      <c r="A3" s="5"/>
      <c r="B3" s="6" t="s">
        <v>250</v>
      </c>
      <c r="C3" s="6" t="s">
        <v>251</v>
      </c>
      <c r="D3" s="6" t="s">
        <v>252</v>
      </c>
      <c r="E3" s="6" t="s">
        <v>253</v>
      </c>
      <c r="F3" s="2"/>
    </row>
    <row r="4" ht="15.5" spans="1:6">
      <c r="A4" s="4" t="s">
        <v>254</v>
      </c>
      <c r="B4" s="7" t="s">
        <v>255</v>
      </c>
      <c r="C4" s="8"/>
      <c r="D4" s="8"/>
      <c r="E4" s="9"/>
      <c r="F4" s="2"/>
    </row>
    <row r="5" ht="15.5" spans="1:6">
      <c r="A5" s="4" t="s">
        <v>256</v>
      </c>
      <c r="B5" s="10" t="s">
        <v>257</v>
      </c>
      <c r="C5" s="8"/>
      <c r="D5" s="8"/>
      <c r="E5" s="9"/>
      <c r="F5" s="2"/>
    </row>
    <row r="6" ht="15.5" spans="1:6">
      <c r="A6" s="4" t="s">
        <v>258</v>
      </c>
      <c r="B6" s="10" t="s">
        <v>259</v>
      </c>
      <c r="C6" s="8"/>
      <c r="D6" s="8"/>
      <c r="E6" s="9"/>
      <c r="F6" s="2"/>
    </row>
    <row r="7" ht="31" spans="1:6">
      <c r="A7" s="11" t="s">
        <v>260</v>
      </c>
      <c r="B7" s="12" t="s">
        <v>261</v>
      </c>
      <c r="C7" s="13" t="s">
        <v>262</v>
      </c>
      <c r="D7" s="14"/>
      <c r="E7" s="15"/>
      <c r="F7" s="2"/>
    </row>
    <row r="8" ht="15.5" spans="1:6">
      <c r="A8" s="3" t="s">
        <v>263</v>
      </c>
      <c r="B8" s="4" t="s">
        <v>246</v>
      </c>
      <c r="C8" s="4" t="s">
        <v>247</v>
      </c>
      <c r="D8" s="4" t="s">
        <v>248</v>
      </c>
      <c r="E8" s="4" t="s">
        <v>249</v>
      </c>
      <c r="F8" s="2"/>
    </row>
    <row r="9" ht="15.5" spans="1:6">
      <c r="A9" s="5"/>
      <c r="B9" s="6" t="s">
        <v>264</v>
      </c>
      <c r="C9" s="6" t="s">
        <v>265</v>
      </c>
      <c r="D9" s="12" t="s">
        <v>266</v>
      </c>
      <c r="E9" s="6" t="s">
        <v>267</v>
      </c>
      <c r="F9" s="2"/>
    </row>
    <row r="10" ht="46.5" spans="1:6">
      <c r="A10" s="16" t="s">
        <v>268</v>
      </c>
      <c r="B10" s="6" t="s">
        <v>269</v>
      </c>
      <c r="C10" s="6" t="s">
        <v>270</v>
      </c>
      <c r="D10" s="6" t="s">
        <v>271</v>
      </c>
      <c r="E10" s="6" t="s">
        <v>272</v>
      </c>
      <c r="F10" s="2"/>
    </row>
    <row r="11" ht="15.5" spans="1:6">
      <c r="A11" s="4" t="s">
        <v>273</v>
      </c>
      <c r="B11" s="17" t="s">
        <v>274</v>
      </c>
      <c r="C11" s="10" t="s">
        <v>275</v>
      </c>
      <c r="D11" s="8"/>
      <c r="E11" s="9"/>
      <c r="F11" s="2"/>
    </row>
    <row r="12" ht="15.5" spans="1:6">
      <c r="A12" s="4" t="s">
        <v>276</v>
      </c>
      <c r="B12" s="18"/>
      <c r="C12" s="10" t="s">
        <v>277</v>
      </c>
      <c r="D12" s="8"/>
      <c r="E12" s="9"/>
      <c r="F12" s="2"/>
    </row>
    <row r="13" ht="15.5" spans="1:6">
      <c r="A13" s="19" t="s">
        <v>278</v>
      </c>
      <c r="B13" s="4" t="s">
        <v>279</v>
      </c>
      <c r="C13" s="20" t="s">
        <v>280</v>
      </c>
      <c r="D13" s="20"/>
      <c r="E13" s="20"/>
      <c r="F13" s="2"/>
    </row>
    <row r="14" ht="15.5" spans="1:6">
      <c r="A14" s="21"/>
      <c r="B14" s="4" t="s">
        <v>281</v>
      </c>
      <c r="C14" s="20" t="s">
        <v>282</v>
      </c>
      <c r="D14" s="20"/>
      <c r="E14" s="20"/>
      <c r="F14" s="2"/>
    </row>
  </sheetData>
  <mergeCells count="13">
    <mergeCell ref="A1:E1"/>
    <mergeCell ref="B4:E4"/>
    <mergeCell ref="B5:E5"/>
    <mergeCell ref="B6:E6"/>
    <mergeCell ref="C7:E7"/>
    <mergeCell ref="C11:E11"/>
    <mergeCell ref="C12:E12"/>
    <mergeCell ref="C13:E13"/>
    <mergeCell ref="C14:E14"/>
    <mergeCell ref="A2:A3"/>
    <mergeCell ref="A8:A9"/>
    <mergeCell ref="A13:A14"/>
    <mergeCell ref="B11:B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硫化计划主表</vt:lpstr>
      <vt:lpstr>硫化换模计划</vt:lpstr>
      <vt:lpstr>排产小结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鹿仔(三木金)</cp:lastModifiedBy>
  <dcterms:created xsi:type="dcterms:W3CDTF">1996-12-17T01:32:00Z</dcterms:created>
  <cp:lastPrinted>2025-03-10T09:52:00Z</cp:lastPrinted>
  <dcterms:modified xsi:type="dcterms:W3CDTF">2026-05-13T14:28:54Z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