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git\JY-APS\APS-Modules\aps-lh\src\main\resources\excelModel\"/>
    </mc:Choice>
  </mc:AlternateContent>
  <xr:revisionPtr revIDLastSave="0" documentId="13_ncr:1_{254B4A9A-9748-458A-AD8F-B1BE36283C8F}" xr6:coauthVersionLast="47" xr6:coauthVersionMax="47" xr10:uidLastSave="{00000000-0000-0000-0000-000000000000}"/>
  <bookViews>
    <workbookView xWindow="-28920" yWindow="-120" windowWidth="29040" windowHeight="15720" tabRatio="844" xr2:uid="{00000000-000D-0000-FFFF-FFFF00000000}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硫化换模计划!$A$4:$P$5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34" l="1"/>
  <c r="C10" i="34"/>
  <c r="B10" i="34"/>
  <c r="BY3" i="35"/>
  <c r="BW3" i="35"/>
  <c r="BP3" i="35"/>
  <c r="BH3" i="35"/>
  <c r="AZ3" i="35"/>
  <c r="AR3" i="35"/>
  <c r="D9" i="34" s="1"/>
  <c r="AJ3" i="35"/>
  <c r="C9" i="34" s="1"/>
  <c r="AB3" i="35"/>
  <c r="B9" i="34" s="1"/>
  <c r="E9" i="34" l="1"/>
  <c r="E10" i="34"/>
</calcChain>
</file>

<file path=xl/sharedStrings.xml><?xml version="1.0" encoding="utf-8"?>
<sst xmlns="http://schemas.openxmlformats.org/spreadsheetml/2006/main" count="370" uniqueCount="302">
  <si>
    <r>
      <rPr>
        <sz val="10"/>
        <color theme="1"/>
        <rFont val="等线"/>
        <family val="3"/>
        <charset val="134"/>
      </rPr>
      <t xml:space="preserve">{yearmonthday}全钢硫化工程生产计划单
</t>
    </r>
    <r>
      <rPr>
        <b/>
        <sz val="10"/>
        <color theme="1"/>
        <rFont val="Cambria"/>
        <family val="1"/>
      </rPr>
      <t>Đơ</t>
    </r>
    <r>
      <rPr>
        <b/>
        <sz val="10"/>
        <color theme="1"/>
        <rFont val="等线"/>
        <family val="3"/>
        <charset val="134"/>
      </rPr>
      <t>n k</t>
    </r>
    <r>
      <rPr>
        <b/>
        <sz val="10"/>
        <color theme="1"/>
        <rFont val="Cambria"/>
        <family val="1"/>
      </rPr>
      <t>ế</t>
    </r>
    <r>
      <rPr>
        <b/>
        <sz val="10"/>
        <color theme="1"/>
        <rFont val="等线"/>
        <family val="3"/>
        <charset val="134"/>
      </rPr>
      <t xml:space="preserve"> ho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ch s</t>
    </r>
    <r>
      <rPr>
        <b/>
        <sz val="10"/>
        <color theme="1"/>
        <rFont val="Cambria"/>
        <family val="1"/>
      </rPr>
      <t>ả</t>
    </r>
    <r>
      <rPr>
        <b/>
        <sz val="10"/>
        <color theme="1"/>
        <rFont val="等线"/>
        <family val="3"/>
        <charset val="134"/>
      </rPr>
      <t>n xu</t>
    </r>
    <r>
      <rPr>
        <b/>
        <sz val="10"/>
        <color theme="1"/>
        <rFont val="Cambria"/>
        <family val="1"/>
      </rPr>
      <t>ấ</t>
    </r>
    <r>
      <rPr>
        <b/>
        <sz val="10"/>
        <color theme="1"/>
        <rFont val="等线"/>
        <family val="3"/>
        <charset val="134"/>
      </rPr>
      <t>t c</t>
    </r>
    <r>
      <rPr>
        <b/>
        <sz val="10"/>
        <color theme="1"/>
        <rFont val="Cambria"/>
        <family val="1"/>
      </rPr>
      <t>ủ</t>
    </r>
    <r>
      <rPr>
        <b/>
        <sz val="10"/>
        <color theme="1"/>
        <rFont val="等线"/>
        <family val="3"/>
        <charset val="134"/>
      </rPr>
      <t xml:space="preserve">a công </t>
    </r>
    <r>
      <rPr>
        <b/>
        <sz val="10"/>
        <color theme="1"/>
        <rFont val="Cambria"/>
        <family val="1"/>
      </rPr>
      <t>đ</t>
    </r>
    <r>
      <rPr>
        <b/>
        <sz val="10"/>
        <color theme="1"/>
        <rFont val="等线"/>
        <family val="3"/>
        <charset val="134"/>
      </rPr>
      <t>o</t>
    </r>
    <r>
      <rPr>
        <b/>
        <sz val="10"/>
        <color theme="1"/>
        <rFont val="Cambria"/>
        <family val="1"/>
      </rPr>
      <t>ạ</t>
    </r>
    <r>
      <rPr>
        <b/>
        <sz val="10"/>
        <color theme="1"/>
        <rFont val="等线"/>
        <family val="3"/>
        <charset val="134"/>
      </rPr>
      <t>n l</t>
    </r>
    <r>
      <rPr>
        <b/>
        <sz val="10"/>
        <color theme="1"/>
        <rFont val="Cambria"/>
        <family val="1"/>
      </rPr>
      <t>ư</t>
    </r>
    <r>
      <rPr>
        <b/>
        <sz val="10"/>
        <color theme="1"/>
        <rFont val="等线"/>
        <family val="3"/>
        <charset val="134"/>
      </rPr>
      <t>u hóa toàn thép</t>
    </r>
  </si>
  <si>
    <r>
      <rPr>
        <sz val="9"/>
        <color rgb="FF000000"/>
        <rFont val="等线"/>
        <family val="3"/>
        <charset val="134"/>
      </rPr>
      <t xml:space="preserve"> 版本号phiên b</t>
    </r>
    <r>
      <rPr>
        <sz val="9"/>
        <color rgb="FF000000"/>
        <rFont val="Times New Roman"/>
        <family val="1"/>
      </rPr>
      <t>ả</t>
    </r>
    <r>
      <rPr>
        <sz val="9"/>
        <color rgb="FF000000"/>
        <rFont val="等线"/>
        <family val="3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</si>
  <si>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</si>
  <si>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</si>
  <si>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</si>
  <si>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</si>
  <si>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</si>
  <si>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</si>
  <si>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</si>
  <si>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</si>
  <si>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</si>
  <si>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</si>
  <si>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</si>
  <si>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</si>
  <si>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{shiftDate2}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</si>
  <si>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{shiftDate3}</t>
    </r>
  </si>
  <si>
    <t>早班 Ca sáng {shiftDate4}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</si>
  <si>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Cambria"/>
        <family val="1"/>
      </rPr>
      <t>ề</t>
    </r>
    <r>
      <rPr>
        <sz val="9"/>
        <color theme="0"/>
        <rFont val="等线"/>
        <family val="3"/>
        <charset val="134"/>
      </rPr>
      <t>u {shiftDate5}</t>
    </r>
  </si>
  <si>
    <r>
      <rPr>
        <sz val="9"/>
        <color theme="0"/>
        <rFont val="等线"/>
        <family val="3"/>
        <charset val="134"/>
      </rPr>
      <t xml:space="preserve">夜班 Ca </t>
    </r>
    <r>
      <rPr>
        <sz val="9"/>
        <color theme="0"/>
        <rFont val="Cambria"/>
        <family val="1"/>
      </rPr>
      <t>đ</t>
    </r>
    <r>
      <rPr>
        <sz val="9"/>
        <color theme="0"/>
        <rFont val="等线"/>
        <family val="3"/>
        <charset val="134"/>
      </rPr>
      <t>êm {shiftDate6}</t>
    </r>
  </si>
  <si>
    <t>早班 Ca sáng {shiftDate7}</t>
  </si>
  <si>
    <r>
      <rPr>
        <sz val="9"/>
        <color theme="0"/>
        <rFont val="等线"/>
        <family val="3"/>
        <charset val="134"/>
      </rPr>
      <t>中班 Ca chi</t>
    </r>
    <r>
      <rPr>
        <sz val="9"/>
        <color theme="0"/>
        <rFont val="Times New Roman"/>
        <family val="1"/>
      </rPr>
      <t>ề</t>
    </r>
    <r>
      <rPr>
        <sz val="9"/>
        <color theme="0"/>
        <rFont val="等线"/>
        <family val="3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</si>
  <si>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</si>
  <si>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</si>
  <si>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</si>
  <si>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</si>
  <si>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</si>
  <si>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</si>
  <si>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</si>
  <si>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</si>
  <si>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</si>
  <si>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</si>
  <si>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</si>
  <si>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</si>
  <si>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</si>
  <si>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</si>
  <si>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family val="3"/>
        <charset val="134"/>
      </rPr>
      <t>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l</t>
    </r>
    <r>
      <rPr>
        <sz val="9"/>
        <color theme="0"/>
        <rFont val="Calibri"/>
        <family val="2"/>
      </rPr>
      <t>ầ</t>
    </r>
    <r>
      <rPr>
        <sz val="9"/>
        <color theme="0"/>
        <rFont val="等线"/>
        <family val="3"/>
        <charset val="134"/>
      </rPr>
      <t>n s</t>
    </r>
    <r>
      <rPr>
        <sz val="9"/>
        <color theme="0"/>
        <rFont val="Calibri"/>
        <family val="2"/>
      </rPr>
      <t>ử</t>
    </r>
    <r>
      <rPr>
        <sz val="9"/>
        <color theme="0"/>
        <rFont val="等线"/>
        <family val="3"/>
        <charset val="134"/>
      </rPr>
      <t xml:space="preserve"> d</t>
    </r>
    <r>
      <rPr>
        <sz val="9"/>
        <color theme="0"/>
        <rFont val="Calibri"/>
        <family val="2"/>
      </rPr>
      <t>ụ</t>
    </r>
    <r>
      <rPr>
        <sz val="9"/>
        <color theme="0"/>
        <rFont val="等线"/>
        <family val="3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</si>
  <si>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</si>
  <si>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</si>
  <si>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</si>
  <si>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</si>
  <si>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</si>
  <si>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</si>
  <si>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</si>
  <si>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</si>
  <si>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</si>
  <si>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计划
Kế hoạch</t>
  </si>
  <si>
    <t>Tổng</t>
  </si>
  <si>
    <r>
      <rPr>
        <sz val="9"/>
        <color theme="0"/>
        <rFont val="等线"/>
        <family val="3"/>
        <charset val="134"/>
      </rPr>
      <t>T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 xml:space="preserve">ng 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</si>
  <si>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</si>
  <si>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</si>
  <si>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</si>
  <si>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</si>
  <si>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</si>
  <si>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</si>
  <si>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</si>
  <si>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</si>
  <si>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</si>
  <si>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</si>
  <si>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</si>
  <si>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</si>
  <si>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</si>
  <si>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</si>
  <si>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</si>
  <si>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</si>
  <si>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</si>
  <si>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</si>
  <si>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</si>
  <si>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</si>
  <si>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</si>
  <si>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</si>
  <si>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</si>
  <si>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</si>
  <si>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</si>
  <si>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</si>
  <si>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</si>
  <si>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</si>
  <si>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</si>
  <si>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</si>
  <si>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</si>
  <si>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</si>
  <si>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</si>
  <si>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</si>
  <si>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</si>
  <si>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</si>
  <si>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</si>
  <si>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</si>
  <si>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</si>
  <si>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</si>
  <si>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</si>
  <si>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</si>
  <si>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</si>
  <si>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</si>
  <si>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</si>
  <si>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</si>
  <si>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</si>
  <si>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</si>
  <si>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</si>
  <si>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</si>
  <si>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</si>
  <si>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</si>
  <si>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</si>
  <si>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</si>
  <si>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</si>
  <si>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</si>
  <si>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</si>
  <si>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</si>
  <si>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</si>
  <si>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</si>
  <si>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</si>
  <si>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</si>
  <si>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</si>
  <si>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</si>
  <si>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</si>
  <si>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</si>
  <si>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</si>
  <si>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</si>
  <si>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</si>
  <si>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</si>
  <si>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</si>
  <si>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</si>
  <si>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</si>
  <si>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</si>
  <si>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</si>
  <si>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</si>
  <si>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</si>
  <si>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</si>
  <si>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</si>
  <si>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</si>
  <si>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</si>
  <si>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</si>
  <si>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</si>
  <si>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</si>
  <si>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</si>
  <si>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</si>
  <si>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</si>
  <si>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</si>
  <si>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</si>
  <si>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</si>
  <si>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family val="3"/>
        <charset val="134"/>
      </rPr>
      <t>Lo</t>
    </r>
    <r>
      <rPr>
        <sz val="9"/>
        <color theme="0"/>
        <rFont val="Calibri"/>
        <family val="2"/>
      </rPr>
      <t>ạ</t>
    </r>
    <r>
      <rPr>
        <sz val="9"/>
        <color theme="0"/>
        <rFont val="等线"/>
        <family val="3"/>
        <charset val="134"/>
      </rPr>
      <t>i ph</t>
    </r>
    <r>
      <rPr>
        <sz val="9"/>
        <color theme="0"/>
        <rFont val="Segoe UI"/>
        <family val="2"/>
      </rPr>
      <t>ươ</t>
    </r>
    <r>
      <rPr>
        <sz val="9"/>
        <color theme="0"/>
        <rFont val="等线"/>
        <family val="3"/>
        <charset val="134"/>
      </rPr>
      <t>ng th</t>
    </r>
    <r>
      <rPr>
        <sz val="9"/>
        <color theme="0"/>
        <rFont val="Calibri"/>
        <family val="2"/>
      </rPr>
      <t>ứ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</si>
  <si>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Xu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>ng máy theo th</t>
    </r>
    <r>
      <rPr>
        <sz val="9"/>
        <color theme="0"/>
        <rFont val="Calibri"/>
        <family val="2"/>
      </rPr>
      <t>ờ</t>
    </r>
    <r>
      <rPr>
        <sz val="9"/>
        <color theme="0"/>
        <rFont val="等线"/>
        <family val="3"/>
        <charset val="134"/>
      </rPr>
      <t>i gian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</si>
  <si>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</t>
    </r>
    <r>
      <rPr>
        <sz val="9"/>
        <color theme="0"/>
        <rFont val="Segoe UI"/>
        <family val="2"/>
      </rPr>
      <t>đ</t>
    </r>
    <r>
      <rPr>
        <sz val="9"/>
        <color theme="0"/>
        <rFont val="等线"/>
        <family val="3"/>
        <charset val="134"/>
      </rPr>
      <t xml:space="preserve">á </t>
    </r>
  </si>
  <si>
    <r>
      <rPr>
        <sz val="9"/>
        <color theme="0"/>
        <rFont val="等线"/>
        <family val="3"/>
        <charset val="134"/>
      </rPr>
      <t>V</t>
    </r>
    <r>
      <rPr>
        <sz val="9"/>
        <color theme="0"/>
        <rFont val="Calibri"/>
        <family val="2"/>
      </rPr>
      <t>ệ</t>
    </r>
    <r>
      <rPr>
        <sz val="9"/>
        <color theme="0"/>
        <rFont val="等线"/>
        <family val="3"/>
        <charset val="134"/>
      </rPr>
      <t xml:space="preserve"> sinh cát （VSC）</t>
    </r>
  </si>
  <si>
    <r>
      <rPr>
        <sz val="9"/>
        <color theme="0"/>
        <rFont val="等线"/>
        <family val="3"/>
        <charset val="134"/>
      </rPr>
      <t>Ch</t>
    </r>
    <r>
      <rPr>
        <sz val="9"/>
        <color theme="0"/>
        <rFont val="Calibri"/>
        <family val="2"/>
      </rPr>
      <t>ỉ</t>
    </r>
    <r>
      <rPr>
        <sz val="9"/>
        <color theme="0"/>
        <rFont val="等线"/>
        <family val="3"/>
        <charset val="134"/>
      </rPr>
      <t xml:space="preserve"> thay l</t>
    </r>
    <r>
      <rPr>
        <sz val="9"/>
        <color theme="0"/>
        <rFont val="Calibri"/>
        <family val="2"/>
      </rPr>
      <t>ắ</t>
    </r>
    <r>
      <rPr>
        <sz val="9"/>
        <color theme="0"/>
        <rFont val="等线"/>
        <family val="3"/>
        <charset val="134"/>
      </rPr>
      <t>c</t>
    </r>
  </si>
  <si>
    <r>
      <rPr>
        <sz val="9"/>
        <color theme="0"/>
        <rFont val="等线"/>
        <family val="3"/>
        <charset val="134"/>
      </rPr>
      <t>Mã s</t>
    </r>
    <r>
      <rPr>
        <sz val="9"/>
        <color theme="0"/>
        <rFont val="Calibri"/>
        <family val="2"/>
      </rPr>
      <t>ố</t>
    </r>
    <r>
      <rPr>
        <sz val="9"/>
        <color theme="0"/>
        <rFont val="等线"/>
        <family val="3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</si>
  <si>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</si>
  <si>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</si>
  <si>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</si>
  <si>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</si>
  <si>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</si>
  <si>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</si>
  <si>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</si>
  <si>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</si>
  <si>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</si>
  <si>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</si>
  <si>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</si>
  <si>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</si>
  <si>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</si>
  <si>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</si>
  <si>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</si>
  <si>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</si>
  <si>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</si>
  <si>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</si>
  <si>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family val="3"/>
        <charset val="134"/>
      </rPr>
      <t>中班 Ca tr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</si>
  <si>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</si>
  <si>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</si>
  <si>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</si>
  <si>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</si>
  <si>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</si>
  <si>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</si>
  <si>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</si>
  <si>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family val="3"/>
        <charset val="134"/>
      </rPr>
      <t>量试 Thử nghiệm 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</si>
  <si>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</si>
  <si>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</si>
  <si>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</si>
  <si>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</si>
  <si>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</si>
  <si>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</si>
  <si>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family val="3"/>
        <charset val="134"/>
      </rPr>
      <t>硫化计划
 L</t>
    </r>
    <r>
      <rPr>
        <b/>
        <sz val="9"/>
        <color theme="1"/>
        <rFont val="Cambria"/>
        <family val="1"/>
      </rPr>
      <t>ư</t>
    </r>
    <r>
      <rPr>
        <b/>
        <sz val="9"/>
        <color theme="1"/>
        <rFont val="等线"/>
        <family val="3"/>
        <charset val="134"/>
      </rPr>
      <t>u hóa</t>
    </r>
  </si>
  <si>
    <r>
      <rPr>
        <sz val="9"/>
        <color theme="1"/>
        <rFont val="等线"/>
        <family val="3"/>
        <charset val="134"/>
      </rPr>
      <t>硫化开动
Số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ợng máy l</t>
    </r>
    <r>
      <rPr>
        <sz val="9"/>
        <color theme="1"/>
        <rFont val="宋体"/>
        <family val="3"/>
        <charset val="134"/>
      </rPr>
      <t>ư</t>
    </r>
    <r>
      <rPr>
        <sz val="9"/>
        <color theme="1"/>
        <rFont val="等线"/>
        <family val="3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</si>
  <si>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</si>
  <si>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</si>
  <si>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</si>
  <si>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</si>
  <si>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</si>
  <si>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</si>
  <si>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</si>
  <si>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</si>
  <si>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</si>
  <si>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</si>
  <si>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</si>
  <si>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</si>
  <si>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</si>
  <si>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</si>
  <si>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</si>
  <si>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</si>
  <si>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</si>
  <si>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</si>
  <si>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</si>
  <si>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</si>
  <si>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</si>
  <si>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</si>
  <si>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</si>
  <si>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</si>
  <si>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class1Analysis</t>
  </si>
  <si>
    <t>class1Dot</t>
  </si>
  <si>
    <t>class2Order</t>
  </si>
  <si>
    <t>class2PlanQty</t>
  </si>
  <si>
    <t>class2FinishQty</t>
  </si>
  <si>
    <t>class2LeftRightMould</t>
  </si>
  <si>
    <t>class2Analysis</t>
  </si>
  <si>
    <t>class2Dot</t>
  </si>
  <si>
    <t>class3Order</t>
  </si>
  <si>
    <t>class3PlanQty</t>
  </si>
  <si>
    <t>class3FinishQty</t>
  </si>
  <si>
    <t>class3LeftRightMould</t>
  </si>
  <si>
    <t>class3Analysis</t>
  </si>
  <si>
    <t>class3Dot</t>
  </si>
  <si>
    <t>class4Order</t>
  </si>
  <si>
    <t>class4PlanQty</t>
  </si>
  <si>
    <t>class4FinishQty</t>
  </si>
  <si>
    <t>class4LeftRightMould</t>
  </si>
  <si>
    <t>class4Analysis</t>
  </si>
  <si>
    <t>class4Dot</t>
  </si>
  <si>
    <t>class5Order</t>
  </si>
  <si>
    <t>class5PlanQty</t>
  </si>
  <si>
    <t>class5FinishQty</t>
  </si>
  <si>
    <t>class5LeftRightMould</t>
  </si>
  <si>
    <t>class5Analysis</t>
  </si>
  <si>
    <t>class5Dot</t>
  </si>
  <si>
    <t>class6Order</t>
  </si>
  <si>
    <t>class6PlanQty</t>
  </si>
  <si>
    <t>class6FinishQty</t>
  </si>
  <si>
    <t>class6LeftRightMould</t>
  </si>
  <si>
    <t>class6Analysis</t>
  </si>
  <si>
    <t>class6Dot</t>
  </si>
  <si>
    <t>class7Order</t>
  </si>
  <si>
    <t>class7PlanQty</t>
  </si>
  <si>
    <t>class7FinishQty</t>
  </si>
  <si>
    <t>class7LeftRightMould</t>
  </si>
  <si>
    <t>class7Analysis</t>
  </si>
  <si>
    <t>class7Dot</t>
  </si>
  <si>
    <t>class8Order</t>
  </si>
  <si>
    <t>class8PlanQty</t>
  </si>
  <si>
    <t>class8FinishQty</t>
  </si>
  <si>
    <t>class8LeftRightMould</t>
  </si>
  <si>
    <t>class8Analysis</t>
  </si>
  <si>
    <t>class8Dot</t>
  </si>
  <si>
    <t>nightPlanQtyTotal</t>
  </si>
  <si>
    <t>nightFinishQtyTotal</t>
  </si>
  <si>
    <t>totalPlanQtyFormula</t>
  </si>
  <si>
    <t>cxMachineCode</t>
  </si>
  <si>
    <t>totalDailyPlanQty</t>
  </si>
  <si>
    <t>todayNightFinishQty</t>
  </si>
  <si>
    <t>remark</t>
  </si>
  <si>
    <t>class1IsEnd</t>
  </si>
  <si>
    <t>class1LhType</t>
  </si>
  <si>
    <t>class2IsEnd</t>
  </si>
  <si>
    <t>class2LhType</t>
  </si>
  <si>
    <t>class3IsEnd</t>
  </si>
  <si>
    <t>class3LhType</t>
  </si>
  <si>
    <t>class4IsEnd</t>
  </si>
  <si>
    <t>class4LhType</t>
  </si>
  <si>
    <t>class5IsEnd</t>
  </si>
  <si>
    <t>class5LhType</t>
  </si>
  <si>
    <t>class6IsEnd</t>
  </si>
  <si>
    <t>class6LhType</t>
  </si>
  <si>
    <t>class7IsEnd</t>
  </si>
  <si>
    <t>class7LhType</t>
  </si>
  <si>
    <t>class8IsEnd</t>
  </si>
  <si>
    <t>class8LhType</t>
  </si>
  <si>
    <t>{.class1IsEnd}</t>
  </si>
  <si>
    <t>{.class1LhType}</t>
  </si>
  <si>
    <t>{.class2IsEnd}</t>
  </si>
  <si>
    <t>{.class2LhType}</t>
  </si>
  <si>
    <t>{.class3IsEnd}</t>
  </si>
  <si>
    <t>{.class3LhType}</t>
  </si>
  <si>
    <t>{.class4IsEnd}</t>
  </si>
  <si>
    <t>{.class4LhType}</t>
  </si>
  <si>
    <t>{.class5IsEnd}</t>
  </si>
  <si>
    <t>{.class5LhType}</t>
  </si>
  <si>
    <t>{.class6IsEnd}</t>
  </si>
  <si>
    <t>{.class6LhType}</t>
  </si>
  <si>
    <t>{.class7IsEnd}</t>
  </si>
  <si>
    <t>{.class7LhType}</t>
  </si>
  <si>
    <t>{.class8IsEnd}</t>
  </si>
  <si>
    <t>{.class8LhType}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</si>
  <si>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</si>
  <si>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</si>
  <si>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</si>
  <si>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</si>
  <si>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</si>
  <si>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</si>
  <si>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</si>
  <si>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</si>
  <si>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</si>
  <si>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</si>
  <si>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{endType}</t>
  </si>
  <si>
    <t>{isDryIceClean}</t>
  </si>
  <si>
    <t>{isSandblastingClean}</t>
  </si>
  <si>
    <t>{isReplaceBlock}</t>
  </si>
  <si>
    <t>{mouldCode}</t>
  </si>
  <si>
    <t>{remark}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</si>
</sst>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29">
    <font>
      <sz val="12"/>
      <name val="宋体"/>
      <charset val="134"/>
    </font>
    <font>
      <sz val="9"/>
      <name val="等线"/>
      <family val="3"/>
      <charset val="134"/>
    </font>
    <font>
      <sz val="10"/>
      <color theme="0"/>
      <name val="等线"/>
      <family val="3"/>
      <charset val="134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color indexed="8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10"/>
      <color theme="1"/>
      <name val="等线"/>
      <family val="3"/>
      <charset val="134"/>
    </font>
    <font>
      <b/>
      <sz val="9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0"/>
      <name val="Calibri"/>
      <family val="2"/>
    </font>
    <font>
      <b/>
      <sz val="9"/>
      <color theme="1"/>
      <name val="Cambria"/>
      <family val="1"/>
    </font>
    <font>
      <sz val="9"/>
      <color theme="0"/>
      <name val="Cambria"/>
      <family val="1"/>
    </font>
    <font>
      <sz val="9"/>
      <color theme="0"/>
      <name val="Segoe UI"/>
      <family val="2"/>
    </font>
    <font>
      <sz val="9"/>
      <color theme="1"/>
      <name val="宋体"/>
      <family val="3"/>
      <charset val="134"/>
    </font>
    <font>
      <b/>
      <sz val="10"/>
      <color theme="1"/>
      <name val="Cambria"/>
      <family val="1"/>
    </font>
    <font>
      <b/>
      <sz val="10"/>
      <color theme="1"/>
      <name val="等线"/>
      <family val="3"/>
      <charset val="134"/>
    </font>
    <font>
      <sz val="9"/>
      <color rgb="FF000000"/>
      <name val="Times New Roman"/>
      <family val="1"/>
    </font>
    <font>
      <sz val="9"/>
      <color theme="0"/>
      <name val="Times New Roman"/>
      <family val="1"/>
    </font>
    <font>
      <sz val="12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6" fillId="0" borderId="0" applyFont="0" applyFill="0" applyBorder="0" applyAlignment="0" applyProtection="0"/>
    <xf numFmtId="0" fontId="13" fillId="0" borderId="0">
      <alignment vertical="center"/>
    </xf>
    <xf numFmtId="0" fontId="14" fillId="0" borderId="0"/>
    <xf numFmtId="177" fontId="12" fillId="0" borderId="0"/>
    <xf numFmtId="0" fontId="15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0" fontId="26" fillId="0" borderId="0"/>
    <xf numFmtId="176" fontId="16" fillId="0" borderId="0" applyFont="0" applyFill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</cellStyleXfs>
  <cellXfs count="74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0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center" vertical="center"/>
    </xf>
    <xf numFmtId="180" fontId="1" fillId="0" borderId="0" xfId="10" applyNumberFormat="1" applyFont="1" applyAlignment="1">
      <alignment horizontal="left" vertical="center"/>
    </xf>
    <xf numFmtId="0" fontId="1" fillId="0" borderId="5" xfId="10" applyFont="1" applyBorder="1" applyAlignment="1">
      <alignment horizontal="center" vertical="center"/>
    </xf>
    <xf numFmtId="180" fontId="7" fillId="0" borderId="5" xfId="10" applyNumberFormat="1" applyFont="1" applyBorder="1" applyAlignment="1">
      <alignment vertical="center" wrapText="1"/>
    </xf>
    <xf numFmtId="180" fontId="8" fillId="0" borderId="5" xfId="10" applyNumberFormat="1" applyFont="1" applyBorder="1" applyAlignment="1">
      <alignment vertical="center"/>
    </xf>
    <xf numFmtId="180" fontId="1" fillId="0" borderId="10" xfId="10" applyNumberFormat="1" applyFont="1" applyBorder="1" applyAlignment="1">
      <alignment horizontal="center" vertical="center"/>
    </xf>
    <xf numFmtId="180" fontId="1" fillId="0" borderId="11" xfId="10" applyNumberFormat="1" applyFont="1" applyBorder="1" applyAlignment="1">
      <alignment horizontal="center" vertical="center"/>
    </xf>
    <xf numFmtId="0" fontId="9" fillId="2" borderId="4" xfId="10" applyFont="1" applyFill="1" applyBorder="1" applyAlignment="1">
      <alignment horizontal="center" vertical="top" wrapText="1"/>
    </xf>
    <xf numFmtId="0" fontId="9" fillId="2" borderId="6" xfId="10" applyFont="1" applyFill="1" applyBorder="1" applyAlignment="1">
      <alignment horizontal="center" vertical="top" wrapText="1"/>
    </xf>
    <xf numFmtId="0" fontId="1" fillId="0" borderId="5" xfId="10" applyFont="1" applyBorder="1" applyAlignment="1">
      <alignment horizontal="center" vertical="center" wrapText="1"/>
    </xf>
    <xf numFmtId="14" fontId="1" fillId="0" borderId="5" xfId="10" applyNumberFormat="1" applyFont="1" applyBorder="1" applyAlignment="1">
      <alignment horizontal="center" vertical="center" wrapText="1"/>
    </xf>
    <xf numFmtId="181" fontId="1" fillId="0" borderId="5" xfId="10" applyNumberFormat="1" applyFont="1" applyBorder="1" applyAlignment="1">
      <alignment horizontal="center" vertical="center" wrapText="1"/>
    </xf>
    <xf numFmtId="0" fontId="1" fillId="0" borderId="5" xfId="1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2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 wrapText="1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2" xfId="0" applyNumberFormat="1" applyFont="1" applyBorder="1" applyAlignment="1">
      <alignment horizontal="center" vertical="center"/>
    </xf>
    <xf numFmtId="182" fontId="3" fillId="0" borderId="5" xfId="0" applyNumberFormat="1" applyFont="1" applyBorder="1" applyAlignment="1">
      <alignment horizontal="center" vertical="center"/>
    </xf>
    <xf numFmtId="182" fontId="3" fillId="0" borderId="13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28" fillId="0" borderId="0" xfId="10" applyFont="1" applyAlignment="1">
      <alignment horizontal="center" vertical="center"/>
    </xf>
    <xf numFmtId="14" fontId="28" fillId="0" borderId="0" xfId="10" applyNumberFormat="1" applyFont="1" applyAlignment="1">
      <alignment horizontal="center" vertical="center"/>
    </xf>
    <xf numFmtId="180" fontId="28" fillId="0" borderId="0" xfId="10" applyNumberFormat="1" applyFont="1" applyAlignment="1">
      <alignment horizontal="center" vertical="center"/>
    </xf>
    <xf numFmtId="180" fontId="28" fillId="0" borderId="0" xfId="10" applyNumberFormat="1" applyFont="1" applyAlignment="1">
      <alignment horizontal="left" vertical="center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3" borderId="5" xfId="0" quotePrefix="1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5" name="图片 2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14287</xdr:colOff>
      <xdr:row>1</xdr:row>
      <xdr:rowOff>33338</xdr:rowOff>
    </xdr:from>
    <xdr:to>
      <xdr:col>1</xdr:col>
      <xdr:colOff>628649</xdr:colOff>
      <xdr:row>2</xdr:row>
      <xdr:rowOff>143193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C6"/>
  <sheetViews>
    <sheetView tabSelected="1" workbookViewId="0">
      <pane xSplit="10" topLeftCell="K1" activePane="topRight" state="frozen"/>
      <selection pane="topRight" activeCell="C3" sqref="C3"/>
    </sheetView>
  </sheetViews>
  <sheetFormatPr defaultColWidth="8.69921875" defaultRowHeight="15.6"/>
  <cols>
    <col min="1" max="1" width="6.5" customWidth="1"/>
    <col min="2" max="2" width="9.59765625" customWidth="1"/>
    <col min="3" max="3" width="32.59765625" customWidth="1"/>
    <col min="4" max="4" width="9.59765625" customWidth="1"/>
    <col min="5" max="5" width="32.59765625" customWidth="1"/>
    <col min="6" max="6" width="17.09765625" customWidth="1"/>
    <col min="7" max="8" width="5.59765625" customWidth="1"/>
    <col min="9" max="9" width="6.09765625" customWidth="1"/>
    <col min="10" max="10" width="5.59765625" customWidth="1"/>
    <col min="11" max="11" width="3.09765625" customWidth="1"/>
    <col min="12" max="18" width="5.09765625" customWidth="1"/>
    <col min="19" max="19" width="3.09765625" customWidth="1"/>
    <col min="20" max="26" width="5.09765625" customWidth="1"/>
    <col min="27" max="27" width="3.09765625" customWidth="1"/>
    <col min="28" max="34" width="5.09765625" customWidth="1"/>
    <col min="35" max="35" width="3.09765625" customWidth="1"/>
    <col min="36" max="42" width="5.09765625" customWidth="1"/>
    <col min="43" max="43" width="3.09765625" customWidth="1"/>
    <col min="44" max="50" width="5.09765625" customWidth="1"/>
    <col min="51" max="51" width="3.09765625" customWidth="1"/>
    <col min="52" max="58" width="5.09765625" customWidth="1"/>
    <col min="59" max="59" width="3.09765625" customWidth="1"/>
    <col min="60" max="66" width="5.09765625" customWidth="1"/>
    <col min="67" max="67" width="3.09765625" customWidth="1"/>
    <col min="68" max="74" width="5.09765625" customWidth="1"/>
    <col min="75" max="77" width="5.59765625" customWidth="1"/>
    <col min="78" max="78" width="9.59765625" customWidth="1"/>
    <col min="79" max="79" width="7.59765625" customWidth="1"/>
    <col min="80" max="80" width="9.59765625" customWidth="1"/>
    <col min="81" max="81" width="25.69921875" customWidth="1"/>
  </cols>
  <sheetData>
    <row r="1" spans="1:81" hidden="1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254</v>
      </c>
      <c r="P1" t="s">
        <v>255</v>
      </c>
      <c r="Q1" t="s">
        <v>203</v>
      </c>
      <c r="R1" t="s">
        <v>204</v>
      </c>
      <c r="S1" t="s">
        <v>205</v>
      </c>
      <c r="T1" t="s">
        <v>206</v>
      </c>
      <c r="U1" t="s">
        <v>207</v>
      </c>
      <c r="V1" t="s">
        <v>208</v>
      </c>
      <c r="W1" t="s">
        <v>256</v>
      </c>
      <c r="X1" t="s">
        <v>257</v>
      </c>
      <c r="Y1" t="s">
        <v>209</v>
      </c>
      <c r="Z1" t="s">
        <v>210</v>
      </c>
      <c r="AA1" t="s">
        <v>211</v>
      </c>
      <c r="AB1" t="s">
        <v>212</v>
      </c>
      <c r="AC1" t="s">
        <v>213</v>
      </c>
      <c r="AD1" t="s">
        <v>214</v>
      </c>
      <c r="AE1" t="s">
        <v>258</v>
      </c>
      <c r="AF1" t="s">
        <v>259</v>
      </c>
      <c r="AG1" t="s">
        <v>215</v>
      </c>
      <c r="AH1" t="s">
        <v>216</v>
      </c>
      <c r="AI1" t="s">
        <v>217</v>
      </c>
      <c r="AJ1" t="s">
        <v>218</v>
      </c>
      <c r="AK1" t="s">
        <v>219</v>
      </c>
      <c r="AL1" t="s">
        <v>220</v>
      </c>
      <c r="AM1" t="s">
        <v>260</v>
      </c>
      <c r="AN1" t="s">
        <v>261</v>
      </c>
      <c r="AO1" t="s">
        <v>221</v>
      </c>
      <c r="AP1" t="s">
        <v>222</v>
      </c>
      <c r="AQ1" t="s">
        <v>223</v>
      </c>
      <c r="AR1" t="s">
        <v>224</v>
      </c>
      <c r="AS1" t="s">
        <v>225</v>
      </c>
      <c r="AT1" t="s">
        <v>226</v>
      </c>
      <c r="AU1" t="s">
        <v>262</v>
      </c>
      <c r="AV1" t="s">
        <v>263</v>
      </c>
      <c r="AW1" t="s">
        <v>227</v>
      </c>
      <c r="AX1" t="s">
        <v>228</v>
      </c>
      <c r="AY1" t="s">
        <v>229</v>
      </c>
      <c r="AZ1" t="s">
        <v>230</v>
      </c>
      <c r="BA1" t="s">
        <v>231</v>
      </c>
      <c r="BB1" t="s">
        <v>232</v>
      </c>
      <c r="BC1" t="s">
        <v>264</v>
      </c>
      <c r="BD1" t="s">
        <v>265</v>
      </c>
      <c r="BE1" t="s">
        <v>233</v>
      </c>
      <c r="BF1" t="s">
        <v>234</v>
      </c>
      <c r="BG1" t="s">
        <v>235</v>
      </c>
      <c r="BH1" t="s">
        <v>236</v>
      </c>
      <c r="BI1" t="s">
        <v>237</v>
      </c>
      <c r="BJ1" t="s">
        <v>238</v>
      </c>
      <c r="BK1" t="s">
        <v>266</v>
      </c>
      <c r="BL1" t="s">
        <v>267</v>
      </c>
      <c r="BM1" t="s">
        <v>239</v>
      </c>
      <c r="BN1" t="s">
        <v>240</v>
      </c>
      <c r="BO1" t="s">
        <v>241</v>
      </c>
      <c r="BP1" t="s">
        <v>242</v>
      </c>
      <c r="BQ1" t="s">
        <v>243</v>
      </c>
      <c r="BR1" t="s">
        <v>244</v>
      </c>
      <c r="BS1" t="s">
        <v>268</v>
      </c>
      <c r="BT1" t="s">
        <v>269</v>
      </c>
      <c r="BU1" t="s">
        <v>245</v>
      </c>
      <c r="BV1" t="s">
        <v>246</v>
      </c>
      <c r="BW1" t="s">
        <v>247</v>
      </c>
      <c r="BX1" t="s">
        <v>248</v>
      </c>
      <c r="BY1" t="s">
        <v>249</v>
      </c>
      <c r="BZ1" t="s">
        <v>250</v>
      </c>
      <c r="CA1" t="s">
        <v>251</v>
      </c>
      <c r="CB1" t="s">
        <v>252</v>
      </c>
      <c r="CC1" t="s">
        <v>253</v>
      </c>
    </row>
    <row r="2" spans="1:81" ht="16.95" customHeight="1">
      <c r="A2" s="2"/>
      <c r="B2" s="23"/>
      <c r="C2" s="24" t="s">
        <v>0</v>
      </c>
      <c r="D2" s="25"/>
      <c r="E2" s="2"/>
      <c r="F2" s="2"/>
      <c r="G2" s="26" t="s">
        <v>1</v>
      </c>
      <c r="H2" s="2"/>
      <c r="I2" s="2"/>
      <c r="J2" s="2"/>
      <c r="K2" s="2"/>
      <c r="L2" s="2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7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7"/>
      <c r="CB2" s="27"/>
      <c r="CC2" s="2"/>
    </row>
    <row r="3" spans="1:81" ht="16.95" customHeight="1">
      <c r="A3" s="28"/>
      <c r="B3" s="28"/>
      <c r="C3" s="28"/>
      <c r="D3" s="28"/>
      <c r="E3" s="28"/>
      <c r="F3" s="28"/>
      <c r="G3" s="29"/>
      <c r="H3" s="30" t="s">
        <v>2</v>
      </c>
      <c r="I3" s="31"/>
      <c r="J3" s="31"/>
      <c r="K3" s="29"/>
      <c r="L3" s="29">
        <v>0</v>
      </c>
      <c r="M3" s="29"/>
      <c r="N3" s="29"/>
      <c r="O3" s="28"/>
      <c r="P3" s="28"/>
      <c r="Q3" s="28"/>
      <c r="R3" s="28"/>
      <c r="S3" s="32"/>
      <c r="T3" s="28">
        <v>0</v>
      </c>
      <c r="U3" s="28"/>
      <c r="V3" s="28"/>
      <c r="W3" s="28"/>
      <c r="X3" s="32"/>
      <c r="Y3" s="28"/>
      <c r="Z3" s="28"/>
      <c r="AA3" s="28"/>
      <c r="AB3" s="28">
        <f>SUM(AB6:AB108139)</f>
        <v>0</v>
      </c>
      <c r="AC3" s="32"/>
      <c r="AD3" s="28"/>
      <c r="AE3" s="28"/>
      <c r="AF3" s="28"/>
      <c r="AG3" s="28"/>
      <c r="AH3" s="32"/>
      <c r="AI3" s="28"/>
      <c r="AJ3" s="28">
        <f>SUM(AJ6:AJ108139)</f>
        <v>0</v>
      </c>
      <c r="AK3" s="28"/>
      <c r="AL3" s="28"/>
      <c r="AM3" s="32"/>
      <c r="AN3" s="28"/>
      <c r="AO3" s="28"/>
      <c r="AP3" s="28"/>
      <c r="AQ3" s="28"/>
      <c r="AR3" s="32">
        <f>SUM(AR6:AR108139)</f>
        <v>0</v>
      </c>
      <c r="AS3" s="28"/>
      <c r="AT3" s="28"/>
      <c r="AU3" s="28"/>
      <c r="AV3" s="28"/>
      <c r="AW3" s="32"/>
      <c r="AX3" s="28"/>
      <c r="AY3" s="28"/>
      <c r="AZ3" s="28">
        <f>SUM(AZ6:AZ108139)</f>
        <v>0</v>
      </c>
      <c r="BA3" s="28"/>
      <c r="BB3" s="32"/>
      <c r="BC3" s="29"/>
      <c r="BD3" s="29"/>
      <c r="BE3" s="29"/>
      <c r="BF3" s="31"/>
      <c r="BG3" s="33"/>
      <c r="BH3" s="28">
        <f>SUM(BH6:BH108139)</f>
        <v>0</v>
      </c>
      <c r="BI3" s="31"/>
      <c r="BJ3" s="31"/>
      <c r="BK3" s="31"/>
      <c r="BL3" s="31"/>
      <c r="BM3" s="31"/>
      <c r="BN3" s="31"/>
      <c r="BO3" s="31"/>
      <c r="BP3" s="28">
        <f>SUM(BP6:BP108139)</f>
        <v>0</v>
      </c>
      <c r="BQ3" s="31"/>
      <c r="BR3" s="31"/>
      <c r="BS3" s="31"/>
      <c r="BT3" s="31"/>
      <c r="BU3" s="31"/>
      <c r="BV3" s="31"/>
      <c r="BW3" s="28">
        <f>SUM(BW6:BW108139)</f>
        <v>0</v>
      </c>
      <c r="BX3" s="31"/>
      <c r="BY3" s="28">
        <f>SUM(BY6:BY108139)</f>
        <v>0</v>
      </c>
      <c r="BZ3" s="34"/>
      <c r="CA3" s="31"/>
      <c r="CB3" s="31"/>
      <c r="CC3" s="31"/>
    </row>
    <row r="4" spans="1:81" ht="34.200000000000003">
      <c r="A4" s="35" t="s">
        <v>3</v>
      </c>
      <c r="B4" s="35" t="s">
        <v>4</v>
      </c>
      <c r="C4" s="35" t="s">
        <v>5</v>
      </c>
      <c r="D4" s="35" t="s">
        <v>6</v>
      </c>
      <c r="E4" s="35" t="s">
        <v>7</v>
      </c>
      <c r="F4" s="35" t="s">
        <v>8</v>
      </c>
      <c r="G4" s="35" t="s">
        <v>9</v>
      </c>
      <c r="H4" s="35" t="s">
        <v>10</v>
      </c>
      <c r="I4" s="35" t="s">
        <v>11</v>
      </c>
      <c r="J4" s="35" t="s">
        <v>12</v>
      </c>
      <c r="K4" s="54" t="s">
        <v>13</v>
      </c>
      <c r="L4" s="55"/>
      <c r="M4" s="55"/>
      <c r="N4" s="55"/>
      <c r="O4" s="55"/>
      <c r="P4" s="55"/>
      <c r="Q4" s="55"/>
      <c r="R4" s="55"/>
      <c r="S4" s="54" t="s">
        <v>14</v>
      </c>
      <c r="T4" s="55"/>
      <c r="U4" s="55"/>
      <c r="V4" s="55"/>
      <c r="W4" s="55"/>
      <c r="X4" s="55"/>
      <c r="Y4" s="55"/>
      <c r="Z4" s="55"/>
      <c r="AA4" s="56" t="s">
        <v>15</v>
      </c>
      <c r="AB4" s="56"/>
      <c r="AC4" s="56"/>
      <c r="AD4" s="56"/>
      <c r="AE4" s="56"/>
      <c r="AF4" s="56"/>
      <c r="AG4" s="56"/>
      <c r="AH4" s="56"/>
      <c r="AI4" s="56" t="s">
        <v>16</v>
      </c>
      <c r="AJ4" s="56"/>
      <c r="AK4" s="56"/>
      <c r="AL4" s="56"/>
      <c r="AM4" s="56"/>
      <c r="AN4" s="56"/>
      <c r="AO4" s="56"/>
      <c r="AP4" s="56"/>
      <c r="AQ4" s="56" t="s">
        <v>17</v>
      </c>
      <c r="AR4" s="56"/>
      <c r="AS4" s="56"/>
      <c r="AT4" s="56"/>
      <c r="AU4" s="56"/>
      <c r="AV4" s="56"/>
      <c r="AW4" s="56"/>
      <c r="AX4" s="56"/>
      <c r="AY4" s="51" t="s">
        <v>18</v>
      </c>
      <c r="AZ4" s="51"/>
      <c r="BA4" s="51"/>
      <c r="BB4" s="51"/>
      <c r="BC4" s="51"/>
      <c r="BD4" s="51"/>
      <c r="BE4" s="51"/>
      <c r="BF4" s="51"/>
      <c r="BG4" s="51" t="s">
        <v>19</v>
      </c>
      <c r="BH4" s="51"/>
      <c r="BI4" s="51"/>
      <c r="BJ4" s="51"/>
      <c r="BK4" s="51"/>
      <c r="BL4" s="51"/>
      <c r="BM4" s="51"/>
      <c r="BN4" s="51"/>
      <c r="BO4" s="51" t="s">
        <v>20</v>
      </c>
      <c r="BP4" s="51"/>
      <c r="BQ4" s="51"/>
      <c r="BR4" s="51"/>
      <c r="BS4" s="51"/>
      <c r="BT4" s="51"/>
      <c r="BU4" s="51"/>
      <c r="BV4" s="51"/>
      <c r="BW4" s="52" t="s">
        <v>21</v>
      </c>
      <c r="BX4" s="53"/>
      <c r="BY4" s="35" t="s">
        <v>22</v>
      </c>
      <c r="BZ4" s="35" t="s">
        <v>23</v>
      </c>
      <c r="CA4" s="35" t="s">
        <v>24</v>
      </c>
      <c r="CB4" s="35" t="s">
        <v>25</v>
      </c>
      <c r="CC4" s="35" t="s">
        <v>26</v>
      </c>
    </row>
    <row r="5" spans="1:81" ht="46.8">
      <c r="A5" s="38" t="s">
        <v>27</v>
      </c>
      <c r="B5" s="38" t="s">
        <v>28</v>
      </c>
      <c r="C5" s="38" t="s">
        <v>29</v>
      </c>
      <c r="D5" s="38" t="s">
        <v>30</v>
      </c>
      <c r="E5" s="38" t="s">
        <v>31</v>
      </c>
      <c r="F5" s="38" t="s">
        <v>32</v>
      </c>
      <c r="G5" s="38" t="s">
        <v>33</v>
      </c>
      <c r="H5" s="38" t="s">
        <v>34</v>
      </c>
      <c r="I5" s="38" t="s">
        <v>35</v>
      </c>
      <c r="J5" s="38" t="s">
        <v>36</v>
      </c>
      <c r="K5" s="36" t="s">
        <v>37</v>
      </c>
      <c r="L5" s="36" t="s">
        <v>38</v>
      </c>
      <c r="M5" s="36" t="s">
        <v>39</v>
      </c>
      <c r="N5" s="36" t="s">
        <v>40</v>
      </c>
      <c r="O5" s="36" t="s">
        <v>41</v>
      </c>
      <c r="P5" s="36" t="s">
        <v>42</v>
      </c>
      <c r="Q5" s="36" t="s">
        <v>43</v>
      </c>
      <c r="R5" s="36" t="s">
        <v>44</v>
      </c>
      <c r="S5" s="36" t="s">
        <v>37</v>
      </c>
      <c r="T5" s="36" t="s">
        <v>38</v>
      </c>
      <c r="U5" s="36" t="s">
        <v>39</v>
      </c>
      <c r="V5" s="36" t="s">
        <v>40</v>
      </c>
      <c r="W5" s="36" t="s">
        <v>41</v>
      </c>
      <c r="X5" s="36" t="s">
        <v>42</v>
      </c>
      <c r="Y5" s="36" t="s">
        <v>43</v>
      </c>
      <c r="Z5" s="36" t="s">
        <v>44</v>
      </c>
      <c r="AA5" s="39" t="s">
        <v>37</v>
      </c>
      <c r="AB5" s="39" t="s">
        <v>38</v>
      </c>
      <c r="AC5" s="39" t="s">
        <v>39</v>
      </c>
      <c r="AD5" s="39" t="s">
        <v>40</v>
      </c>
      <c r="AE5" s="39" t="s">
        <v>41</v>
      </c>
      <c r="AF5" s="39" t="s">
        <v>42</v>
      </c>
      <c r="AG5" s="39" t="s">
        <v>43</v>
      </c>
      <c r="AH5" s="39" t="s">
        <v>44</v>
      </c>
      <c r="AI5" s="39" t="s">
        <v>37</v>
      </c>
      <c r="AJ5" s="39" t="s">
        <v>38</v>
      </c>
      <c r="AK5" s="39" t="s">
        <v>39</v>
      </c>
      <c r="AL5" s="39" t="s">
        <v>40</v>
      </c>
      <c r="AM5" s="39" t="s">
        <v>41</v>
      </c>
      <c r="AN5" s="39" t="s">
        <v>42</v>
      </c>
      <c r="AO5" s="39" t="s">
        <v>43</v>
      </c>
      <c r="AP5" s="39" t="s">
        <v>44</v>
      </c>
      <c r="AQ5" s="39" t="s">
        <v>37</v>
      </c>
      <c r="AR5" s="39" t="s">
        <v>38</v>
      </c>
      <c r="AS5" s="39" t="s">
        <v>39</v>
      </c>
      <c r="AT5" s="39" t="s">
        <v>40</v>
      </c>
      <c r="AU5" s="39" t="s">
        <v>41</v>
      </c>
      <c r="AV5" s="39" t="s">
        <v>42</v>
      </c>
      <c r="AW5" s="39" t="s">
        <v>43</v>
      </c>
      <c r="AX5" s="39" t="s">
        <v>44</v>
      </c>
      <c r="AY5" s="40" t="s">
        <v>37</v>
      </c>
      <c r="AZ5" s="40" t="s">
        <v>38</v>
      </c>
      <c r="BA5" s="40" t="s">
        <v>39</v>
      </c>
      <c r="BB5" s="40" t="s">
        <v>40</v>
      </c>
      <c r="BC5" s="40" t="s">
        <v>41</v>
      </c>
      <c r="BD5" s="40" t="s">
        <v>42</v>
      </c>
      <c r="BE5" s="40" t="s">
        <v>43</v>
      </c>
      <c r="BF5" s="40" t="s">
        <v>44</v>
      </c>
      <c r="BG5" s="40" t="s">
        <v>37</v>
      </c>
      <c r="BH5" s="40" t="s">
        <v>38</v>
      </c>
      <c r="BI5" s="40" t="s">
        <v>39</v>
      </c>
      <c r="BJ5" s="40" t="s">
        <v>40</v>
      </c>
      <c r="BK5" s="40" t="s">
        <v>41</v>
      </c>
      <c r="BL5" s="40" t="s">
        <v>42</v>
      </c>
      <c r="BM5" s="40" t="s">
        <v>43</v>
      </c>
      <c r="BN5" s="40" t="s">
        <v>44</v>
      </c>
      <c r="BO5" s="40" t="s">
        <v>37</v>
      </c>
      <c r="BP5" s="40" t="s">
        <v>38</v>
      </c>
      <c r="BQ5" s="40" t="s">
        <v>39</v>
      </c>
      <c r="BR5" s="40" t="s">
        <v>40</v>
      </c>
      <c r="BS5" s="40" t="s">
        <v>41</v>
      </c>
      <c r="BT5" s="40" t="s">
        <v>42</v>
      </c>
      <c r="BU5" s="40" t="s">
        <v>43</v>
      </c>
      <c r="BV5" s="40" t="s">
        <v>44</v>
      </c>
      <c r="BW5" s="37" t="s">
        <v>45</v>
      </c>
      <c r="BX5" s="37" t="s">
        <v>39</v>
      </c>
      <c r="BY5" s="38" t="s">
        <v>46</v>
      </c>
      <c r="BZ5" s="38" t="s">
        <v>47</v>
      </c>
      <c r="CA5" s="38" t="s">
        <v>48</v>
      </c>
      <c r="CB5" s="38" t="s">
        <v>49</v>
      </c>
      <c r="CC5" s="38" t="s">
        <v>50</v>
      </c>
    </row>
    <row r="6" spans="1:81" ht="80.099999999999994" customHeight="1">
      <c r="A6" s="6" t="s">
        <v>51</v>
      </c>
      <c r="B6" s="3" t="s">
        <v>52</v>
      </c>
      <c r="C6" s="41" t="s">
        <v>53</v>
      </c>
      <c r="D6" s="41" t="s">
        <v>54</v>
      </c>
      <c r="E6" s="41" t="s">
        <v>55</v>
      </c>
      <c r="F6" s="41" t="s">
        <v>56</v>
      </c>
      <c r="G6" s="3" t="s">
        <v>57</v>
      </c>
      <c r="H6" s="4" t="s">
        <v>58</v>
      </c>
      <c r="I6" s="4" t="s">
        <v>59</v>
      </c>
      <c r="J6" s="42" t="s">
        <v>60</v>
      </c>
      <c r="K6" s="43" t="s">
        <v>61</v>
      </c>
      <c r="L6" s="44" t="s">
        <v>62</v>
      </c>
      <c r="M6" s="44" t="s">
        <v>63</v>
      </c>
      <c r="N6" s="44" t="s">
        <v>64</v>
      </c>
      <c r="O6" s="44" t="s">
        <v>270</v>
      </c>
      <c r="P6" s="44" t="s">
        <v>271</v>
      </c>
      <c r="Q6" s="44" t="s">
        <v>65</v>
      </c>
      <c r="R6" s="44" t="s">
        <v>66</v>
      </c>
      <c r="S6" s="44" t="s">
        <v>67</v>
      </c>
      <c r="T6" s="44" t="s">
        <v>68</v>
      </c>
      <c r="U6" s="44" t="s">
        <v>69</v>
      </c>
      <c r="V6" s="44" t="s">
        <v>70</v>
      </c>
      <c r="W6" s="44" t="s">
        <v>272</v>
      </c>
      <c r="X6" s="44" t="s">
        <v>273</v>
      </c>
      <c r="Y6" s="44" t="s">
        <v>71</v>
      </c>
      <c r="Z6" s="44" t="s">
        <v>72</v>
      </c>
      <c r="AA6" s="44" t="s">
        <v>73</v>
      </c>
      <c r="AB6" s="44" t="s">
        <v>74</v>
      </c>
      <c r="AC6" s="44" t="s">
        <v>75</v>
      </c>
      <c r="AD6" s="44" t="s">
        <v>76</v>
      </c>
      <c r="AE6" s="44" t="s">
        <v>274</v>
      </c>
      <c r="AF6" s="44" t="s">
        <v>275</v>
      </c>
      <c r="AG6" s="44" t="s">
        <v>77</v>
      </c>
      <c r="AH6" s="44" t="s">
        <v>78</v>
      </c>
      <c r="AI6" s="44" t="s">
        <v>79</v>
      </c>
      <c r="AJ6" s="44" t="s">
        <v>80</v>
      </c>
      <c r="AK6" s="44" t="s">
        <v>81</v>
      </c>
      <c r="AL6" s="44" t="s">
        <v>82</v>
      </c>
      <c r="AM6" s="44" t="s">
        <v>276</v>
      </c>
      <c r="AN6" s="44" t="s">
        <v>277</v>
      </c>
      <c r="AO6" s="44" t="s">
        <v>83</v>
      </c>
      <c r="AP6" s="44" t="s">
        <v>84</v>
      </c>
      <c r="AQ6" s="44" t="s">
        <v>85</v>
      </c>
      <c r="AR6" s="44" t="s">
        <v>86</v>
      </c>
      <c r="AS6" s="44" t="s">
        <v>87</v>
      </c>
      <c r="AT6" s="44" t="s">
        <v>88</v>
      </c>
      <c r="AU6" s="44" t="s">
        <v>278</v>
      </c>
      <c r="AV6" s="44" t="s">
        <v>279</v>
      </c>
      <c r="AW6" s="44" t="s">
        <v>89</v>
      </c>
      <c r="AX6" s="44" t="s">
        <v>90</v>
      </c>
      <c r="AY6" s="44" t="s">
        <v>91</v>
      </c>
      <c r="AZ6" s="44" t="s">
        <v>92</v>
      </c>
      <c r="BA6" s="44" t="s">
        <v>93</v>
      </c>
      <c r="BB6" s="44" t="s">
        <v>94</v>
      </c>
      <c r="BC6" s="44" t="s">
        <v>280</v>
      </c>
      <c r="BD6" s="44" t="s">
        <v>281</v>
      </c>
      <c r="BE6" s="44" t="s">
        <v>95</v>
      </c>
      <c r="BF6" s="44" t="s">
        <v>96</v>
      </c>
      <c r="BG6" s="44" t="s">
        <v>97</v>
      </c>
      <c r="BH6" s="44" t="s">
        <v>98</v>
      </c>
      <c r="BI6" s="44" t="s">
        <v>99</v>
      </c>
      <c r="BJ6" s="44" t="s">
        <v>100</v>
      </c>
      <c r="BK6" s="44" t="s">
        <v>282</v>
      </c>
      <c r="BL6" s="44" t="s">
        <v>283</v>
      </c>
      <c r="BM6" s="44" t="s">
        <v>101</v>
      </c>
      <c r="BN6" s="44" t="s">
        <v>102</v>
      </c>
      <c r="BO6" s="44" t="s">
        <v>103</v>
      </c>
      <c r="BP6" s="44" t="s">
        <v>104</v>
      </c>
      <c r="BQ6" s="44" t="s">
        <v>105</v>
      </c>
      <c r="BR6" s="44" t="s">
        <v>106</v>
      </c>
      <c r="BS6" s="44" t="s">
        <v>284</v>
      </c>
      <c r="BT6" s="44" t="s">
        <v>285</v>
      </c>
      <c r="BU6" s="44" t="s">
        <v>107</v>
      </c>
      <c r="BV6" s="45" t="s">
        <v>108</v>
      </c>
      <c r="BW6" s="44" t="s">
        <v>109</v>
      </c>
      <c r="BX6" s="44" t="s">
        <v>110</v>
      </c>
      <c r="BY6" s="44" t="s">
        <v>111</v>
      </c>
      <c r="BZ6" s="46" t="s">
        <v>112</v>
      </c>
      <c r="CA6" s="46" t="s">
        <v>113</v>
      </c>
      <c r="CB6" s="3" t="s">
        <v>114</v>
      </c>
      <c r="CC6" s="3" t="s">
        <v>115</v>
      </c>
    </row>
  </sheetData>
  <mergeCells count="9">
    <mergeCell ref="AY4:BF4"/>
    <mergeCell ref="BG4:BN4"/>
    <mergeCell ref="BO4:BV4"/>
    <mergeCell ref="BW4:BX4"/>
    <mergeCell ref="K4:R4"/>
    <mergeCell ref="S4:Z4"/>
    <mergeCell ref="AA4:AH4"/>
    <mergeCell ref="AI4:AP4"/>
    <mergeCell ref="AQ4:AX4"/>
  </mergeCells>
  <phoneticPr fontId="27" type="noConversion"/>
  <conditionalFormatting sqref="C3:D3">
    <cfRule type="duplicateValues" dxfId="0" priority="1" stopIfTrue="1"/>
  </conditionalFormatting>
  <dataValidations count="1">
    <dataValidation type="list" allowBlank="1" showInputMessage="1" showErrorMessage="1" sqref="O5 W5 AE5 AM5 AU5 BC5 BK5 BS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A2" workbookViewId="0">
      <selection sqref="A1:XFD1"/>
    </sheetView>
  </sheetViews>
  <sheetFormatPr defaultColWidth="8" defaultRowHeight="11.4"/>
  <cols>
    <col min="1" max="1" width="3" style="8" customWidth="1"/>
    <col min="2" max="2" width="8.8984375" style="9" customWidth="1"/>
    <col min="3" max="4" width="5.59765625" style="10" customWidth="1"/>
    <col min="5" max="5" width="4.69921875" style="10" customWidth="1"/>
    <col min="6" max="6" width="10.19921875" style="8" customWidth="1"/>
    <col min="7" max="7" width="34.09765625" style="11" customWidth="1"/>
    <col min="8" max="8" width="10.19921875" style="8" customWidth="1"/>
    <col min="9" max="9" width="34.09765625" style="11" customWidth="1"/>
    <col min="10" max="10" width="8.69921875" style="11" customWidth="1"/>
    <col min="11" max="11" width="5.69921875" style="11" customWidth="1"/>
    <col min="12" max="14" width="5.69921875" style="10" customWidth="1"/>
    <col min="15" max="15" width="27.3984375" style="10" customWidth="1"/>
    <col min="16" max="16" width="9" style="10" customWidth="1"/>
    <col min="17" max="16384" width="8" style="10"/>
  </cols>
  <sheetData>
    <row r="1" spans="1:16" s="49" customFormat="1" hidden="1">
      <c r="A1" s="47" t="s">
        <v>286</v>
      </c>
      <c r="B1" s="48" t="s">
        <v>287</v>
      </c>
      <c r="C1" s="49" t="s">
        <v>288</v>
      </c>
      <c r="D1" s="49" t="s">
        <v>289</v>
      </c>
      <c r="E1" s="49" t="s">
        <v>290</v>
      </c>
      <c r="F1" s="47" t="s">
        <v>291</v>
      </c>
      <c r="G1" s="50" t="s">
        <v>292</v>
      </c>
      <c r="H1" s="47" t="s">
        <v>293</v>
      </c>
      <c r="I1" s="50" t="s">
        <v>294</v>
      </c>
      <c r="J1" s="50" t="s">
        <v>295</v>
      </c>
      <c r="K1" s="50" t="s">
        <v>296</v>
      </c>
      <c r="L1" s="49" t="s">
        <v>297</v>
      </c>
      <c r="M1" s="49" t="s">
        <v>298</v>
      </c>
      <c r="N1" s="49" t="s">
        <v>299</v>
      </c>
      <c r="O1" s="49" t="s">
        <v>300</v>
      </c>
      <c r="P1" s="49" t="s">
        <v>301</v>
      </c>
    </row>
    <row r="2" spans="1:16" ht="33.75" customHeight="1">
      <c r="A2" s="12"/>
      <c r="B2" s="13"/>
      <c r="C2" s="13"/>
      <c r="D2" s="13"/>
      <c r="E2" s="13"/>
      <c r="F2" s="13"/>
      <c r="G2" s="14" t="s">
        <v>116</v>
      </c>
      <c r="H2" s="13"/>
      <c r="I2" s="13"/>
      <c r="J2" s="13"/>
      <c r="K2" s="13"/>
      <c r="L2" s="13"/>
      <c r="M2" s="13"/>
      <c r="N2" s="13"/>
      <c r="O2" s="15"/>
      <c r="P2" s="16"/>
    </row>
    <row r="3" spans="1:16" s="7" customFormat="1" ht="34.200000000000003" customHeight="1">
      <c r="A3" s="17" t="s">
        <v>117</v>
      </c>
      <c r="B3" s="17" t="s">
        <v>118</v>
      </c>
      <c r="C3" s="17" t="s">
        <v>119</v>
      </c>
      <c r="D3" s="17" t="s">
        <v>120</v>
      </c>
      <c r="E3" s="17" t="s">
        <v>121</v>
      </c>
      <c r="F3" s="17" t="s">
        <v>122</v>
      </c>
      <c r="G3" s="17" t="s">
        <v>5</v>
      </c>
      <c r="H3" s="17" t="s">
        <v>123</v>
      </c>
      <c r="I3" s="17" t="s">
        <v>5</v>
      </c>
      <c r="J3" s="17" t="s">
        <v>124</v>
      </c>
      <c r="K3" s="17" t="s">
        <v>125</v>
      </c>
      <c r="L3" s="17" t="s">
        <v>126</v>
      </c>
      <c r="M3" s="17" t="s">
        <v>127</v>
      </c>
      <c r="N3" s="17" t="s">
        <v>128</v>
      </c>
      <c r="O3" s="17" t="s">
        <v>129</v>
      </c>
      <c r="P3" s="17" t="s">
        <v>26</v>
      </c>
    </row>
    <row r="4" spans="1:16" s="7" customFormat="1" ht="68.25" customHeight="1">
      <c r="A4" s="18" t="s">
        <v>130</v>
      </c>
      <c r="B4" s="18" t="s">
        <v>131</v>
      </c>
      <c r="C4" s="18" t="s">
        <v>132</v>
      </c>
      <c r="D4" s="18" t="s">
        <v>27</v>
      </c>
      <c r="E4" s="18" t="s">
        <v>133</v>
      </c>
      <c r="F4" s="18" t="s">
        <v>134</v>
      </c>
      <c r="G4" s="18" t="s">
        <v>135</v>
      </c>
      <c r="H4" s="18" t="s">
        <v>136</v>
      </c>
      <c r="I4" s="18" t="s">
        <v>137</v>
      </c>
      <c r="J4" s="18" t="s">
        <v>138</v>
      </c>
      <c r="K4" s="18" t="s">
        <v>139</v>
      </c>
      <c r="L4" s="18" t="s">
        <v>140</v>
      </c>
      <c r="M4" s="18" t="s">
        <v>141</v>
      </c>
      <c r="N4" s="18" t="s">
        <v>142</v>
      </c>
      <c r="O4" s="18" t="s">
        <v>143</v>
      </c>
      <c r="P4" s="18" t="s">
        <v>50</v>
      </c>
    </row>
    <row r="5" spans="1:16" ht="11.4" customHeight="1">
      <c r="A5" s="19" t="s">
        <v>144</v>
      </c>
      <c r="B5" s="20" t="s">
        <v>145</v>
      </c>
      <c r="C5" s="21" t="s">
        <v>146</v>
      </c>
      <c r="D5" s="19" t="s">
        <v>51</v>
      </c>
      <c r="E5" s="12" t="s">
        <v>147</v>
      </c>
      <c r="F5" s="12" t="s">
        <v>148</v>
      </c>
      <c r="G5" s="22" t="s">
        <v>149</v>
      </c>
      <c r="H5" s="19" t="s">
        <v>150</v>
      </c>
      <c r="I5" s="22" t="s">
        <v>151</v>
      </c>
      <c r="J5" s="22" t="s">
        <v>152</v>
      </c>
      <c r="K5" s="22" t="s">
        <v>153</v>
      </c>
      <c r="L5" s="12" t="s">
        <v>154</v>
      </c>
      <c r="M5" s="12" t="s">
        <v>155</v>
      </c>
      <c r="N5" s="12" t="s">
        <v>156</v>
      </c>
      <c r="O5" s="19" t="s">
        <v>157</v>
      </c>
      <c r="P5" s="19" t="s">
        <v>115</v>
      </c>
    </row>
  </sheetData>
  <autoFilter ref="A4:P5" xr:uid="{00000000-0009-0000-0000-000001000000}"/>
  <phoneticPr fontId="27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F14"/>
  <sheetViews>
    <sheetView workbookViewId="0">
      <selection activeCell="J11" sqref="J11"/>
    </sheetView>
  </sheetViews>
  <sheetFormatPr defaultColWidth="8.69921875" defaultRowHeight="11.4"/>
  <cols>
    <col min="1" max="1" width="18.09765625" style="1" customWidth="1"/>
    <col min="2" max="5" width="15.59765625" style="1" customWidth="1"/>
    <col min="6" max="16384" width="8.69921875" style="1"/>
  </cols>
  <sheetData>
    <row r="1" spans="1:6" ht="34.5" customHeight="1">
      <c r="A1" s="57" t="s">
        <v>158</v>
      </c>
      <c r="B1" s="58"/>
      <c r="C1" s="58"/>
      <c r="D1" s="58"/>
      <c r="E1" s="59"/>
      <c r="F1" s="2"/>
    </row>
    <row r="2" spans="1:6" ht="25.2" customHeight="1">
      <c r="A2" s="68" t="s">
        <v>159</v>
      </c>
      <c r="B2" s="3" t="s">
        <v>160</v>
      </c>
      <c r="C2" s="3" t="s">
        <v>161</v>
      </c>
      <c r="D2" s="3" t="s">
        <v>162</v>
      </c>
      <c r="E2" s="3" t="s">
        <v>163</v>
      </c>
      <c r="F2" s="2"/>
    </row>
    <row r="3" spans="1:6" ht="25.2" customHeight="1">
      <c r="A3" s="69"/>
      <c r="B3" s="4" t="s">
        <v>164</v>
      </c>
      <c r="C3" s="4" t="s">
        <v>165</v>
      </c>
      <c r="D3" s="4" t="s">
        <v>166</v>
      </c>
      <c r="E3" s="4" t="s">
        <v>167</v>
      </c>
      <c r="F3" s="2"/>
    </row>
    <row r="4" spans="1:6" ht="30" customHeight="1">
      <c r="A4" s="3" t="s">
        <v>168</v>
      </c>
      <c r="B4" s="60" t="s">
        <v>169</v>
      </c>
      <c r="C4" s="61"/>
      <c r="D4" s="61"/>
      <c r="E4" s="62"/>
      <c r="F4" s="2"/>
    </row>
    <row r="5" spans="1:6" ht="30" customHeight="1">
      <c r="A5" s="3" t="s">
        <v>170</v>
      </c>
      <c r="B5" s="63" t="s">
        <v>171</v>
      </c>
      <c r="C5" s="61"/>
      <c r="D5" s="61"/>
      <c r="E5" s="62"/>
      <c r="F5" s="2"/>
    </row>
    <row r="6" spans="1:6" ht="30" customHeight="1">
      <c r="A6" s="4" t="s">
        <v>172</v>
      </c>
      <c r="B6" s="63" t="s">
        <v>173</v>
      </c>
      <c r="C6" s="61"/>
      <c r="D6" s="61"/>
      <c r="E6" s="62"/>
      <c r="F6" s="2"/>
    </row>
    <row r="7" spans="1:6" ht="90" customHeight="1">
      <c r="A7" s="5" t="s">
        <v>174</v>
      </c>
      <c r="B7" s="3" t="s">
        <v>175</v>
      </c>
      <c r="C7" s="64" t="s">
        <v>176</v>
      </c>
      <c r="D7" s="65"/>
      <c r="E7" s="66"/>
      <c r="F7" s="2"/>
    </row>
    <row r="8" spans="1:6" ht="25.2" customHeight="1">
      <c r="A8" s="68" t="s">
        <v>177</v>
      </c>
      <c r="B8" s="3" t="s">
        <v>160</v>
      </c>
      <c r="C8" s="3" t="s">
        <v>161</v>
      </c>
      <c r="D8" s="3" t="s">
        <v>162</v>
      </c>
      <c r="E8" s="3" t="s">
        <v>163</v>
      </c>
      <c r="F8" s="2"/>
    </row>
    <row r="9" spans="1:6" ht="25.2" customHeight="1">
      <c r="A9" s="69"/>
      <c r="B9" s="4">
        <f>硫化日计划!AB3</f>
        <v>0</v>
      </c>
      <c r="C9" s="4">
        <f>硫化日计划!AJ3</f>
        <v>0</v>
      </c>
      <c r="D9" s="3">
        <f>硫化日计划!AR3</f>
        <v>0</v>
      </c>
      <c r="E9" s="4">
        <f>SUM(B9:D9)</f>
        <v>0</v>
      </c>
      <c r="F9" s="2"/>
    </row>
    <row r="10" spans="1:6" ht="25.2" customHeight="1">
      <c r="A10" s="4" t="s">
        <v>178</v>
      </c>
      <c r="B10" s="4">
        <f>COUNTA(硫化日计划!$AB$6:AB1048576)</f>
        <v>1</v>
      </c>
      <c r="C10" s="4">
        <f>COUNTA(硫化日计划!$AJ$6:AJ1048576)</f>
        <v>1</v>
      </c>
      <c r="D10" s="4">
        <f>COUNTA(硫化日计划!$AR$6:AR1048576)</f>
        <v>1</v>
      </c>
      <c r="E10" s="4">
        <f>SUM(B10:D10)</f>
        <v>3</v>
      </c>
      <c r="F10" s="2"/>
    </row>
    <row r="11" spans="1:6" ht="30" customHeight="1">
      <c r="A11" s="3" t="s">
        <v>179</v>
      </c>
      <c r="B11" s="72" t="s">
        <v>180</v>
      </c>
      <c r="C11" s="63" t="s">
        <v>181</v>
      </c>
      <c r="D11" s="61"/>
      <c r="E11" s="62"/>
      <c r="F11" s="2"/>
    </row>
    <row r="12" spans="1:6" ht="30" customHeight="1">
      <c r="A12" s="3" t="s">
        <v>182</v>
      </c>
      <c r="B12" s="73"/>
      <c r="C12" s="63" t="s">
        <v>183</v>
      </c>
      <c r="D12" s="61"/>
      <c r="E12" s="62"/>
      <c r="F12" s="2"/>
    </row>
    <row r="13" spans="1:6" ht="30" customHeight="1">
      <c r="A13" s="70" t="s">
        <v>184</v>
      </c>
      <c r="B13" s="3" t="s">
        <v>185</v>
      </c>
      <c r="C13" s="67" t="s">
        <v>186</v>
      </c>
      <c r="D13" s="67"/>
      <c r="E13" s="67"/>
      <c r="F13" s="2"/>
    </row>
    <row r="14" spans="1:6" ht="30" customHeight="1">
      <c r="A14" s="71"/>
      <c r="B14" s="3" t="s">
        <v>187</v>
      </c>
      <c r="C14" s="67" t="s">
        <v>188</v>
      </c>
      <c r="D14" s="67"/>
      <c r="E14" s="67"/>
      <c r="F14" s="2"/>
    </row>
  </sheetData>
  <mergeCells count="13">
    <mergeCell ref="C11:E11"/>
    <mergeCell ref="C12:E12"/>
    <mergeCell ref="C13:E13"/>
    <mergeCell ref="C14:E14"/>
    <mergeCell ref="A2:A3"/>
    <mergeCell ref="A8:A9"/>
    <mergeCell ref="A13:A14"/>
    <mergeCell ref="B11:B12"/>
    <mergeCell ref="A1:E1"/>
    <mergeCell ref="B4:E4"/>
    <mergeCell ref="B5:E5"/>
    <mergeCell ref="B6:E6"/>
    <mergeCell ref="C7:E7"/>
  </mergeCells>
  <phoneticPr fontId="2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HEN C</cp:lastModifiedBy>
  <cp:lastPrinted>2025-03-10T09:52:00Z</cp:lastPrinted>
  <dcterms:created xsi:type="dcterms:W3CDTF">1996-12-17T01:32:00Z</dcterms:created>
  <dcterms:modified xsi:type="dcterms:W3CDTF">2026-06-04T02:35:11Z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