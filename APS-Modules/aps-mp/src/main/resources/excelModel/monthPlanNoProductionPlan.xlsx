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7140"/>
  </bookViews>
  <sheets>
    <sheet name="未排产计划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<sst xmlns="http://schemas.openxmlformats.org/spreadsheetml/2006/main" count="62" uniqueCount="62">
  <si>
    <t>{factoryCode}工厂 {yearAndMonth} {productTypeCode} 未排产明细</t>
  </si>
  <si>
    <t>需求计划版本号：{monthPlanVersion}</t>
  </si>
  <si>
    <t>排产版本号：{productionVersion}</t>
  </si>
  <si>
    <t>合计</t>
  </si>
  <si>
    <t>类型</t>
  </si>
  <si>
    <t>品牌</t>
  </si>
  <si>
    <t>物料编码</t>
  </si>
  <si>
    <t>物料描述</t>
  </si>
  <si>
    <t>产品结构</t>
  </si>
  <si>
    <t>结构类型</t>
  </si>
  <si>
    <t>规格</t>
  </si>
  <si>
    <t>花纹</t>
  </si>
  <si>
    <t>主花纹</t>
  </si>
  <si>
    <t>英寸</t>
  </si>
  <si>
    <t>排产分类</t>
  </si>
  <si>
    <t>产品分类</t>
  </si>
  <si>
    <t>排产
净需求</t>
  </si>
  <si>
    <t>净需求
(含暂缓)</t>
  </si>
  <si>
    <t>净需求
(不含暂缓)</t>
  </si>
  <si>
    <t>高优先级
数量</t>
  </si>
  <si>
    <t>中优先级
数量</t>
  </si>
  <si>
    <t>暂缓订单</t>
  </si>
  <si>
    <t>周期排产
储备</t>
  </si>
  <si>
    <t>常规储备</t>
  </si>
  <si>
    <t>高优先级
需求(含损耗)</t>
  </si>
  <si>
    <t>实际排产</t>
  </si>
  <si>
    <t>未排产数量</t>
  </si>
  <si>
    <t>实单
未排产</t>
  </si>
  <si>
    <t>是否排产</t>
  </si>
  <si>
    <t>未排产原因</t>
  </si>
  <si>
    <t>更新日期</t>
  </si>
  <si>
    <t>库存数量(成品库存总数)</t>
  </si>
  <si>
    <t>月均销量</t>
  </si>
  <si>
    <t>{.locationType}</t>
  </si>
  <si>
    <t>{.brand}</t>
  </si>
  <si>
    <t>{.materialCode}</t>
  </si>
  <si>
    <t>{.materialDesc}</t>
  </si>
  <si>
    <t>{.structureName}</t>
  </si>
  <si>
    <t>{.structureType}</t>
  </si>
  <si>
    <t>{.specifications}</t>
  </si>
  <si>
    <t>{.pattern}</t>
  </si>
  <si>
    <t>{.mainPattern}</t>
  </si>
  <si>
    <t>{.proSize}</t>
  </si>
  <si>
    <t>{.productionType}</t>
  </si>
  <si>
    <t>{.productCategory}</t>
  </si>
  <si>
    <t>{.netQty}</t>
  </si>
  <si>
    <t>{.postponeNetQty}</t>
  </si>
  <si>
    <t>{.unPostponeNetQty}</t>
  </si>
  <si>
    <t>{.heightQty}</t>
  </si>
  <si>
    <t>{.midQty}</t>
  </si>
  <si>
    <t>{.postponeQty}</t>
  </si>
  <si>
    <t>{.cycleReserveQty}</t>
  </si>
  <si>
    <t>{.conventionReserveQty}</t>
  </si>
  <si>
    <t>{.heightLossQty}</t>
  </si>
  <si>
    <t>{.totalQty}</t>
  </si>
  <si>
    <t>{.unProductionQty}</t>
  </si>
  <si>
    <t>{.actualOrderUnproduced}</t>
  </si>
  <si>
    <t>{.isProduction}</t>
  </si>
  <si>
    <t>{.reason}</t>
  </si>
  <si>
    <t>{.updateTime}</t>
  </si>
  <si>
    <t>{.stockQty}</t>
  </si>
  <si>
    <t>{.averageSaleQty}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</si>
</sst>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rgb="FF000000"/>
      <name val="等线"/>
      <charset val="134"/>
    </font>
    <font>
      <b/>
      <sz val="9"/>
      <color indexed="8"/>
      <name val="等线"/>
      <charset val="134"/>
    </font>
    <font>
      <sz val="9"/>
      <color indexed="8"/>
      <name val="等线"/>
      <charset val="134"/>
    </font>
    <font>
      <b/>
      <sz val="9"/>
      <color theme="1"/>
      <name val="等线"/>
      <charset val="134"/>
    </font>
    <font>
      <b/>
      <sz val="9"/>
      <name val="等线"/>
      <charset val="134"/>
    </font>
    <font>
      <b/>
      <sz val="9"/>
      <color rgb="FFFFFFFF"/>
      <name val="等线"/>
      <charset val="134"/>
    </font>
    <font>
      <sz val="9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AEEF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7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/>
    <xf numFmtId="0" fontId="2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 vertical="top" wrapText="1"/>
    </xf>
    <xf numFmtId="0" fontId="7" fillId="3" borderId="1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22" fontId="8" fillId="0" borderId="2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"/>
  <sheetViews>
    <sheetView tabSelected="1" topLeftCell="H1" workbookViewId="0">
      <selection activeCell="X7" sqref="X7"/>
    </sheetView>
  </sheetViews>
  <sheetFormatPr defaultColWidth="9" defaultRowHeight="11.5" outlineLevelRow="3"/>
  <cols>
    <col min="1" max="1" width="5.45454545454545" style="1" customWidth="1"/>
    <col min="2" max="2" width="9.36363636363636" style="1" customWidth="1"/>
    <col min="3" max="3" width="11.5454545454545" style="1" customWidth="1"/>
    <col min="4" max="4" width="35.1818181818182" style="1" customWidth="1"/>
    <col min="5" max="5" width="16.9090909090909" style="1" customWidth="1"/>
    <col min="6" max="6" width="14.5454545454545" style="1" customWidth="1"/>
    <col min="7" max="7" width="10.3636363636364" style="1" customWidth="1"/>
    <col min="8" max="8" width="7.09090909090909" style="1" customWidth="1"/>
    <col min="9" max="9" width="6.18181818181818" style="1" customWidth="1"/>
    <col min="10" max="10" width="5" style="1" customWidth="1"/>
    <col min="11" max="11" width="14.5454545454545" style="1" customWidth="1"/>
    <col min="12" max="12" width="14.2727272727273" style="1" customWidth="1"/>
    <col min="13" max="13" width="7.18181818181818" style="1" customWidth="1"/>
    <col min="14" max="14" width="7" style="1" customWidth="1"/>
    <col min="15" max="15" width="8.54545454545454" style="1" customWidth="1"/>
    <col min="16" max="20" width="7.54545454545455" style="1" customWidth="1"/>
    <col min="21" max="21" width="10.1818181818182" style="1" customWidth="1"/>
    <col min="22" max="24" width="7.36363636363636" style="1" customWidth="1"/>
    <col min="25" max="25" width="7.54545454545455" style="1" customWidth="1"/>
    <col min="26" max="26" width="66.1818181818182" style="1" customWidth="1"/>
    <col min="27" max="27" width="12.9090909090909" style="1" customWidth="1"/>
    <col min="28" max="29" width="11.1818181818182" style="1" customWidth="1"/>
    <col min="30" max="16384" width="9" style="1"/>
  </cols>
  <sheetData>
    <row r="1" ht="30.75" customHeight="1" spans="1:29">
      <c r="A1" s="2"/>
      <c r="C1" s="3" t="s">
        <v>0</v>
      </c>
      <c r="E1" s="4" t="s">
        <v>1</v>
      </c>
      <c r="K1" s="5" t="s">
        <v>2</v>
      </c>
      <c r="L1" s="6"/>
      <c r="M1" s="6"/>
      <c r="N1" s="6"/>
      <c r="O1" s="6"/>
      <c r="P1" s="2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customHeight="1" spans="1:29">
      <c r="A2" s="2"/>
      <c r="D2" s="7"/>
      <c r="E2" s="7"/>
      <c r="F2" s="7"/>
      <c r="G2" s="7"/>
      <c r="H2" s="7"/>
      <c r="I2" s="7"/>
      <c r="J2" s="7"/>
      <c r="K2" s="7"/>
      <c r="L2" s="8" t="s">
        <v>3</v>
      </c>
      <c r="M2" s="8">
        <f t="shared" ref="M2:X2" si="0">SUM(M4:M5000)</f>
        <v>0</v>
      </c>
      <c r="N2" s="8">
        <f t="shared" si="0"/>
        <v>0</v>
      </c>
      <c r="O2" s="8">
        <f t="shared" si="0"/>
        <v>0</v>
      </c>
      <c r="P2" s="8">
        <f t="shared" si="0"/>
        <v>0</v>
      </c>
      <c r="Q2" s="8">
        <f t="shared" si="0"/>
        <v>0</v>
      </c>
      <c r="R2" s="8">
        <f t="shared" si="0"/>
        <v>0</v>
      </c>
      <c r="S2" s="8">
        <f t="shared" si="0"/>
        <v>0</v>
      </c>
      <c r="T2" s="8">
        <f t="shared" si="0"/>
        <v>0</v>
      </c>
      <c r="U2" s="8">
        <f t="shared" si="0"/>
        <v>0</v>
      </c>
      <c r="V2" s="8">
        <f t="shared" si="0"/>
        <v>0</v>
      </c>
      <c r="W2" s="8">
        <f t="shared" si="0"/>
        <v>0</v>
      </c>
      <c r="X2" s="8">
        <f t="shared" si="0"/>
        <v>0</v>
      </c>
      <c r="Y2" s="5"/>
      <c r="Z2" s="5"/>
      <c r="AA2" s="5"/>
      <c r="AB2" s="8">
        <f t="shared" ref="AB2:AC2" si="1">SUM(AB4:AB5000)</f>
        <v>0</v>
      </c>
      <c r="AC2" s="8">
        <f t="shared" si="1"/>
        <v>0</v>
      </c>
    </row>
    <row r="3" ht="42" customHeight="1" spans="1:29">
      <c r="A3" s="9" t="s">
        <v>4</v>
      </c>
      <c r="B3" s="9" t="s">
        <v>5</v>
      </c>
      <c r="C3" s="9" t="s">
        <v>6</v>
      </c>
      <c r="D3" s="9" t="s">
        <v>7</v>
      </c>
      <c r="E3" s="9" t="s">
        <v>8</v>
      </c>
      <c r="F3" s="9" t="s">
        <v>9</v>
      </c>
      <c r="G3" s="9" t="s">
        <v>10</v>
      </c>
      <c r="H3" s="9" t="s">
        <v>11</v>
      </c>
      <c r="I3" s="9" t="s">
        <v>12</v>
      </c>
      <c r="J3" s="9" t="s">
        <v>13</v>
      </c>
      <c r="K3" s="9" t="s">
        <v>14</v>
      </c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9" t="s">
        <v>20</v>
      </c>
      <c r="R3" s="9" t="s">
        <v>21</v>
      </c>
      <c r="S3" s="9" t="s">
        <v>22</v>
      </c>
      <c r="T3" s="9" t="s">
        <v>23</v>
      </c>
      <c r="U3" s="9" t="s">
        <v>24</v>
      </c>
      <c r="V3" s="9" t="s">
        <v>25</v>
      </c>
      <c r="W3" s="9" t="s">
        <v>26</v>
      </c>
      <c r="X3" s="9" t="s">
        <v>27</v>
      </c>
      <c r="Y3" s="9" t="s">
        <v>28</v>
      </c>
      <c r="Z3" s="10" t="s">
        <v>29</v>
      </c>
      <c r="AA3" s="9" t="s">
        <v>30</v>
      </c>
      <c r="AB3" s="9" t="s">
        <v>31</v>
      </c>
      <c r="AC3" s="9" t="s">
        <v>32</v>
      </c>
    </row>
    <row r="4" ht="14" customHeight="1" spans="1:29">
      <c r="A4" s="11" t="s">
        <v>33</v>
      </c>
      <c r="B4" s="12" t="s">
        <v>34</v>
      </c>
      <c r="C4" s="11" t="s">
        <v>35</v>
      </c>
      <c r="D4" s="11" t="s">
        <v>36</v>
      </c>
      <c r="E4" s="13" t="s">
        <v>37</v>
      </c>
      <c r="F4" s="11" t="s">
        <v>38</v>
      </c>
      <c r="G4" s="11" t="s">
        <v>39</v>
      </c>
      <c r="H4" s="11" t="s">
        <v>40</v>
      </c>
      <c r="I4" s="11" t="s">
        <v>41</v>
      </c>
      <c r="J4" s="11" t="s">
        <v>42</v>
      </c>
      <c r="K4" s="11" t="s">
        <v>43</v>
      </c>
      <c r="L4" s="11" t="s">
        <v>44</v>
      </c>
      <c r="M4" s="11" t="s">
        <v>45</v>
      </c>
      <c r="N4" s="11" t="s">
        <v>46</v>
      </c>
      <c r="O4" s="11" t="s">
        <v>47</v>
      </c>
      <c r="P4" s="11" t="s">
        <v>48</v>
      </c>
      <c r="Q4" s="11" t="s">
        <v>49</v>
      </c>
      <c r="R4" s="11" t="s">
        <v>50</v>
      </c>
      <c r="S4" s="11" t="s">
        <v>51</v>
      </c>
      <c r="T4" s="11" t="s">
        <v>52</v>
      </c>
      <c r="U4" s="11" t="s">
        <v>53</v>
      </c>
      <c r="V4" s="11" t="s">
        <v>54</v>
      </c>
      <c r="W4" s="11" t="s">
        <v>55</v>
      </c>
      <c r="X4" s="11" t="s">
        <v>56</v>
      </c>
      <c r="Y4" s="11" t="s">
        <v>57</v>
      </c>
      <c r="Z4" s="12" t="s">
        <v>58</v>
      </c>
      <c r="AA4" s="14" t="s">
        <v>59</v>
      </c>
      <c r="AB4" s="11" t="s">
        <v>60</v>
      </c>
      <c r="AC4" s="11" t="s">
        <v>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未排产计划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鹿仔(三木金)</cp:lastModifiedBy>
  <dcterms:created xsi:type="dcterms:W3CDTF">2026-03-19T12:28:00Z</dcterms:created>
  <dcterms:modified xsi:type="dcterms:W3CDTF">2026-04-03T08:49:41Z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CF77CA3A626D4BBA940C70482A375FC7_12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