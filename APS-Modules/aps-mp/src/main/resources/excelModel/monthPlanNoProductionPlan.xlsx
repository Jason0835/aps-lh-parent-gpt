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JY_APS\jy_aps\APS-Modules\aps-mp\src\main\resources\excelModel\"/>
    </mc:Choice>
  </mc:AlternateContent>
  <xr:revisionPtr revIDLastSave="0" documentId="13_ncr:1_{334E765D-02D6-4690-9624-627E815AB31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未排产计划" sheetId="1" r:id="rId1"/>
  </sheets>
  <calcPr calcId="191029"/>
</workbook>
</file>

<file path=xl/calcChain.xml><?xml version="1.0" encoding="utf-8"?>
<calcChain xmlns="http://schemas.openxmlformats.org/spreadsheetml/2006/main">
  <c r="AC2" i="1" l="1"/>
  <c r="AB2" i="1"/>
  <c r="W2" i="1"/>
  <c r="V2" i="1"/>
  <c r="U2" i="1"/>
  <c r="T2" i="1"/>
  <c r="S2" i="1"/>
  <c r="R2" i="1"/>
  <c r="Q2" i="1"/>
  <c r="P2" i="1"/>
  <c r="O2" i="1"/>
  <c r="N2" i="1"/>
  <c r="M2" i="1"/>
  <c r="X2" i="1"/>
</calcChain>
</file>

<file path=xl/sharedStrings.xml><?xml version="1.0" encoding="utf-8"?>
<sst xmlns="http://schemas.openxmlformats.org/spreadsheetml/2006/main" count="62" uniqueCount="62">
  <si>
    <t>品牌</t>
  </si>
  <si>
    <t>物料编码</t>
  </si>
  <si>
    <t>物料描述</t>
  </si>
  <si>
    <t>产品结构</t>
  </si>
  <si>
    <t>结构类型</t>
  </si>
  <si>
    <t>规格</t>
  </si>
  <si>
    <t>花纹</t>
  </si>
  <si>
    <t>主花纹</t>
  </si>
  <si>
    <t>英寸</t>
  </si>
  <si>
    <t>排产分类</t>
  </si>
  <si>
    <t>产品分类</t>
  </si>
  <si>
    <t>排产
净需求</t>
  </si>
  <si>
    <t>净需求
(含暂缓)</t>
  </si>
  <si>
    <t>净需求
(不含暂缓)</t>
  </si>
  <si>
    <t>高优先级
数量</t>
  </si>
  <si>
    <t>中优先级
数量</t>
  </si>
  <si>
    <t>暂缓订单</t>
  </si>
  <si>
    <t>周期排产
储备</t>
  </si>
  <si>
    <t>常规储备</t>
  </si>
  <si>
    <t>高优先级
需求(含损耗)</t>
  </si>
  <si>
    <t>实际排产</t>
  </si>
  <si>
    <t>未排产数量</t>
  </si>
  <si>
    <t>实单
未排产</t>
  </si>
  <si>
    <t>是否排产</t>
  </si>
  <si>
    <t>未排产原因</t>
  </si>
  <si>
    <t>更新日期</t>
  </si>
  <si>
    <t>库存数量(成品库存总数)</t>
  </si>
  <si>
    <t>月均销量</t>
  </si>
  <si>
    <t>{.locationType}</t>
  </si>
  <si>
    <t>{.brand}</t>
  </si>
  <si>
    <t>{.materialCode}</t>
  </si>
  <si>
    <t>{.materialDesc}</t>
  </si>
  <si>
    <t>{.structureName}</t>
  </si>
  <si>
    <t>{.structureType}</t>
  </si>
  <si>
    <t>{.specifications}</t>
  </si>
  <si>
    <t>{.pattern}</t>
  </si>
  <si>
    <t>{.mainPattern}</t>
  </si>
  <si>
    <t>{.proSize}</t>
  </si>
  <si>
    <t>{.productionType}</t>
  </si>
  <si>
    <t>{.netQty}</t>
  </si>
  <si>
    <t>{.postponeNetQty}</t>
  </si>
  <si>
    <t>{.unPostponeNetQty}</t>
  </si>
  <si>
    <t>{.heightQty}</t>
  </si>
  <si>
    <t>{.midQty}</t>
  </si>
  <si>
    <t>{.postponeQty}</t>
  </si>
  <si>
    <t>{.cycleReserveQty}</t>
  </si>
  <si>
    <t>{.conventionReserveQty}</t>
  </si>
  <si>
    <t>{.heightLossQty}</t>
  </si>
  <si>
    <t>{.factProdReqQty}</t>
  </si>
  <si>
    <t>{.unProductionQty}</t>
  </si>
  <si>
    <t>{.actualOrderUnproduced}</t>
  </si>
  <si>
    <t>{.isProduction}</t>
  </si>
  <si>
    <t>{.reason}</t>
  </si>
  <si>
    <t>{.updateTime}</t>
  </si>
  <si>
    <t>{.stockQty}</t>
  </si>
  <si>
    <t>{.averageSaleQty}</t>
  </si>
  <si>
    <t>{factoryCode}工厂 {yearAndMonth} {productTypeCode} 未排产明细</t>
    <phoneticPr fontId="2" type="noConversion"/>
  </si>
  <si>
    <t>类型</t>
    <phoneticPr fontId="2" type="noConversion"/>
  </si>
  <si>
    <t>需求计划版本号：{monthPlanVersion}</t>
    <phoneticPr fontId="2" type="noConversion"/>
  </si>
  <si>
    <t>排产版本号：{productionVersion}</t>
    <phoneticPr fontId="2" type="noConversion"/>
  </si>
  <si>
    <t>合计</t>
    <phoneticPr fontId="2" type="noConversion"/>
  </si>
  <si>
    <t>{.productCategory}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</si>
</sst>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b/>
      <sz val="9"/>
      <color rgb="FF000000"/>
      <name val="等线"/>
      <family val="3"/>
      <charset val="134"/>
    </font>
    <font>
      <sz val="9"/>
      <name val="宋体"/>
      <family val="3"/>
      <charset val="134"/>
      <scheme val="minor"/>
    </font>
    <font>
      <sz val="9"/>
      <color theme="1"/>
      <name val="等线"/>
      <family val="3"/>
      <charset val="134"/>
    </font>
    <font>
      <b/>
      <sz val="9"/>
      <color indexed="8"/>
      <name val="等线"/>
      <family val="3"/>
      <charset val="134"/>
    </font>
    <font>
      <sz val="9"/>
      <color indexed="8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name val="等线"/>
      <family val="3"/>
      <charset val="134"/>
    </font>
    <font>
      <b/>
      <sz val="9"/>
      <color rgb="FFFFFFFF"/>
      <name val="等线"/>
      <family val="3"/>
      <charset val="134"/>
    </font>
    <font>
      <sz val="9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DAEE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7" fillId="3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top" wrapText="1"/>
    </xf>
    <xf numFmtId="0" fontId="8" fillId="2" borderId="1" xfId="0" applyFont="1" applyFill="1" applyBorder="1" applyAlignment="1">
      <alignment horizontal="left" vertical="top" wrapText="1"/>
    </xf>
    <xf numFmtId="0" fontId="1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6" fillId="0" borderId="0" xfId="0" applyFont="1"/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22" fontId="9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"/>
  <sheetViews>
    <sheetView tabSelected="1" workbookViewId="0">
      <selection activeCell="A2" sqref="A2"/>
    </sheetView>
  </sheetViews>
  <sheetFormatPr defaultColWidth="9" defaultRowHeight="11.5" x14ac:dyDescent="0.25"/>
  <cols>
    <col min="1" max="1" width="5.453125" style="5" customWidth="1"/>
    <col min="2" max="2" width="9.36328125" style="5" customWidth="1"/>
    <col min="3" max="3" width="11.54296875" style="5" customWidth="1"/>
    <col min="4" max="4" width="35.1796875" style="5" customWidth="1"/>
    <col min="5" max="5" width="16.90625" style="5" customWidth="1"/>
    <col min="6" max="6" width="14.54296875" style="5" customWidth="1"/>
    <col min="7" max="7" width="10.36328125" style="5" customWidth="1"/>
    <col min="8" max="8" width="7.08984375" style="5" customWidth="1"/>
    <col min="9" max="9" width="6.1796875" style="5" customWidth="1"/>
    <col min="10" max="10" width="5" style="5" customWidth="1"/>
    <col min="11" max="11" width="14.54296875" style="5" customWidth="1"/>
    <col min="12" max="12" width="14.26953125" style="5" customWidth="1"/>
    <col min="13" max="13" width="7.1796875" style="5" customWidth="1"/>
    <col min="14" max="14" width="7" style="5" customWidth="1"/>
    <col min="15" max="15" width="8.54296875" style="5" customWidth="1"/>
    <col min="16" max="20" width="7.54296875" style="5" customWidth="1"/>
    <col min="21" max="21" width="10.1796875" style="5" customWidth="1"/>
    <col min="22" max="24" width="7.36328125" style="5" customWidth="1"/>
    <col min="25" max="25" width="7.54296875" style="5" customWidth="1"/>
    <col min="26" max="26" width="66.1796875" style="5" customWidth="1"/>
    <col min="27" max="27" width="12.90625" style="5" customWidth="1"/>
    <col min="28" max="29" width="11.1796875" style="5" customWidth="1"/>
    <col min="30" max="16384" width="9" style="5"/>
  </cols>
  <sheetData>
    <row r="1" spans="1:29" ht="30.75" customHeight="1" x14ac:dyDescent="0.25">
      <c r="A1" s="4"/>
      <c r="C1" s="6" t="s">
        <v>56</v>
      </c>
      <c r="E1" s="7" t="s">
        <v>58</v>
      </c>
      <c r="K1" s="8" t="s">
        <v>59</v>
      </c>
      <c r="L1" s="10"/>
      <c r="M1" s="10"/>
      <c r="N1" s="10"/>
      <c r="O1" s="10"/>
      <c r="P1" s="4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spans="1:29" ht="11.5" customHeight="1" x14ac:dyDescent="0.25">
      <c r="A2" s="4"/>
      <c r="D2" s="9"/>
      <c r="E2" s="9"/>
      <c r="F2" s="9"/>
      <c r="G2" s="9"/>
      <c r="H2" s="9"/>
      <c r="I2" s="9"/>
      <c r="J2" s="9"/>
      <c r="K2" s="9"/>
      <c r="L2" s="1" t="s">
        <v>60</v>
      </c>
      <c r="M2" s="1">
        <f t="shared" ref="M2:W2" si="0">SUM(M4:M5000)</f>
        <v>0</v>
      </c>
      <c r="N2" s="1">
        <f t="shared" si="0"/>
        <v>0</v>
      </c>
      <c r="O2" s="1">
        <f t="shared" si="0"/>
        <v>0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>SUM(X4:X5000)</f>
        <v>0</v>
      </c>
      <c r="Y2" s="8"/>
      <c r="Z2" s="8"/>
      <c r="AA2" s="8"/>
      <c r="AB2" s="1">
        <f t="shared" ref="AB2:AC2" si="1">SUM(AB4:AB5000)</f>
        <v>0</v>
      </c>
      <c r="AC2" s="1">
        <f t="shared" si="1"/>
        <v>0</v>
      </c>
    </row>
    <row r="3" spans="1:29" ht="42" customHeight="1" x14ac:dyDescent="0.25">
      <c r="A3" s="2" t="s">
        <v>57</v>
      </c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  <c r="S3" s="2" t="s">
        <v>17</v>
      </c>
      <c r="T3" s="2" t="s">
        <v>18</v>
      </c>
      <c r="U3" s="2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3" t="s">
        <v>24</v>
      </c>
      <c r="AA3" s="2" t="s">
        <v>25</v>
      </c>
      <c r="AB3" s="2" t="s">
        <v>26</v>
      </c>
      <c r="AC3" s="2" t="s">
        <v>27</v>
      </c>
    </row>
    <row r="4" spans="1:29" ht="14" customHeight="1" x14ac:dyDescent="0.25">
      <c r="A4" s="11" t="s">
        <v>28</v>
      </c>
      <c r="B4" s="12" t="s">
        <v>29</v>
      </c>
      <c r="C4" s="11" t="s">
        <v>30</v>
      </c>
      <c r="D4" s="11" t="s">
        <v>31</v>
      </c>
      <c r="E4" s="13" t="s">
        <v>32</v>
      </c>
      <c r="F4" s="11" t="s">
        <v>33</v>
      </c>
      <c r="G4" s="11" t="s">
        <v>34</v>
      </c>
      <c r="H4" s="11" t="s">
        <v>35</v>
      </c>
      <c r="I4" s="11" t="s">
        <v>36</v>
      </c>
      <c r="J4" s="11" t="s">
        <v>37</v>
      </c>
      <c r="K4" s="11" t="s">
        <v>38</v>
      </c>
      <c r="L4" s="11" t="s">
        <v>61</v>
      </c>
      <c r="M4" s="11" t="s">
        <v>39</v>
      </c>
      <c r="N4" s="11" t="s">
        <v>40</v>
      </c>
      <c r="O4" s="11" t="s">
        <v>41</v>
      </c>
      <c r="P4" s="11" t="s">
        <v>42</v>
      </c>
      <c r="Q4" s="11" t="s">
        <v>43</v>
      </c>
      <c r="R4" s="11" t="s">
        <v>44</v>
      </c>
      <c r="S4" s="11" t="s">
        <v>45</v>
      </c>
      <c r="T4" s="11" t="s">
        <v>46</v>
      </c>
      <c r="U4" s="11" t="s">
        <v>47</v>
      </c>
      <c r="V4" s="11" t="s">
        <v>48</v>
      </c>
      <c r="W4" s="11" t="s">
        <v>49</v>
      </c>
      <c r="X4" s="11" t="s">
        <v>50</v>
      </c>
      <c r="Y4" s="11" t="s">
        <v>51</v>
      </c>
      <c r="Z4" s="12" t="s">
        <v>52</v>
      </c>
      <c r="AA4" s="14" t="s">
        <v>53</v>
      </c>
      <c r="AB4" s="11" t="s">
        <v>54</v>
      </c>
      <c r="AC4" s="11" t="s">
        <v>55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未排产计划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lizhihuua@163.com</cp:lastModifiedBy>
  <dcterms:created xsi:type="dcterms:W3CDTF">2026-03-19T12:28:00Z</dcterms:created>
  <dcterms:modified xsi:type="dcterms:W3CDTF">2026-03-20T14:07:17Z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CF77CA3A626D4BBA940C70482A375FC7_12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