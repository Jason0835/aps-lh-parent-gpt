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31"/>
  <workbookPr/>
  <mc:AlternateContent xmlns:mc="http://schemas.openxmlformats.org/markup-compatibility/2006">
    <mc:Choice Requires="x15">
      <x15ac:absPath xmlns:x15ac="http://schemas.microsoft.com/office/spreadsheetml/2010/11/ac" url="D:\workspace\jy_aps\jy_aps\APS-Modules\aps-mp\src\main\resources\excelModel\"/>
    </mc:Choice>
  </mc:AlternateContent>
  <xr:revisionPtr revIDLastSave="0" documentId="13_ncr:1_{D881E6A7-326A-4B53-BFC1-D0A339AA89AE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月计划" sheetId="1" r:id="rId1"/>
  </sheets>
  <definedNames>
    <definedName name="_xlnm._FilterDatabase" localSheetId="0" hidden="1">月计划!$A$4:$CE$4</definedName>
  </definedNames>
  <calcPr calcId="191029"/>
</workbook>
</file>

<file path=xl/calcChain.xml><?xml version="1.0" encoding="utf-8"?>
<calcChain xmlns="http://schemas.openxmlformats.org/spreadsheetml/2006/main">
  <c r="AD4" i="1" l="1"/>
</calcChain>
</file>

<file path=xl/sharedStrings.xml><?xml version="1.0" encoding="utf-8"?>
<sst xmlns="http://schemas.openxmlformats.org/spreadsheetml/2006/main" count="252" uniqueCount="252">
  <si>
    <t>{factoryName}</t>
  </si>
  <si>
    <t>{summary}</t>
  </si>
  <si>
    <t>{monthPlanVersion}</t>
  </si>
  <si>
    <t>{productionVersion}</t>
  </si>
  <si>
    <t>{.locationTypeA}</t>
  </si>
  <si>
    <t>{.materialCodeA}</t>
  </si>
  <si>
    <t>{.mesMaterialCodeA}</t>
  </si>
  <si>
    <t>{.materialDescA}</t>
  </si>
  <si>
    <t>{.structureNameA}</t>
  </si>
  <si>
    <t>{.structureTypeA}</t>
  </si>
  <si>
    <t>{.productStatusA}</t>
  </si>
  <si>
    <t>{.embryoCodeA}</t>
  </si>
  <si>
    <t>{.mainMaterialDescA}</t>
  </si>
  <si>
    <t>{.constructionStageA}</t>
  </si>
  <si>
    <t>{.brandA}</t>
  </si>
  <si>
    <t>{.specificationsA}</t>
  </si>
  <si>
    <t>{.mainPatternA}</t>
  </si>
  <si>
    <t>{.patternA}</t>
  </si>
  <si>
    <t>{.proSizeA}</t>
  </si>
  <si>
    <t>{.singleTireWeightA}</t>
  </si>
  <si>
    <t>{.productCategoryA}</t>
  </si>
  <si>
    <t>{.mouldCavityQtyA}</t>
  </si>
  <si>
    <t>{.typeBlockQtyA}</t>
  </si>
  <si>
    <t>{.averageSaleQtyA}</t>
  </si>
  <si>
    <t>{.inventorySalesRatioA}</t>
  </si>
  <si>
    <t>{.dayVulcanizationQtyA}</t>
  </si>
  <si>
    <t>{.prodReqPlanA}</t>
  </si>
  <si>
    <t>{.unRestrictedNetQtyA}</t>
  </si>
  <si>
    <t>{.restrictedNetQtyA}</t>
  </si>
  <si>
    <t>{.lastMonthRemainQtyA}</t>
  </si>
  <si>
    <t>{.productSurplusA}</t>
  </si>
  <si>
    <t>{.pendingQtyA}</t>
  </si>
  <si>
    <t>{.originalTotalQtyA}</t>
  </si>
  <si>
    <t>{.adjustProductQty1A}</t>
  </si>
  <si>
    <t>{.adjustQty1A}</t>
  </si>
  <si>
    <t>{.adjustProductQty2A}</t>
  </si>
  <si>
    <t>{.adjustQty2A}</t>
  </si>
  <si>
    <t>{.adjustProductQty3A}</t>
  </si>
  <si>
    <t>{.adjustQty3A}</t>
  </si>
  <si>
    <t>{.adjustProductQty4A}</t>
  </si>
  <si>
    <t>{.adjustQty4A}</t>
  </si>
  <si>
    <t>{.beginDayA}</t>
  </si>
  <si>
    <t>{.endDayA}</t>
  </si>
  <si>
    <t>{.lastDay2A}</t>
  </si>
  <si>
    <t>{.lastDay1A}</t>
  </si>
  <si>
    <t>{.day1A}</t>
  </si>
  <si>
    <t>{.day2A}</t>
  </si>
  <si>
    <t>{.day3A}</t>
  </si>
  <si>
    <t>{.day4A}</t>
  </si>
  <si>
    <t>{.day5A}</t>
  </si>
  <si>
    <t>{.day6A}</t>
  </si>
  <si>
    <t>{.day7A}</t>
  </si>
  <si>
    <t>{.day8A}</t>
  </si>
  <si>
    <t>{.day9A}</t>
  </si>
  <si>
    <t>{.day10A}</t>
  </si>
  <si>
    <t>{.day11A}</t>
  </si>
  <si>
    <t>{.day12A}</t>
  </si>
  <si>
    <t>{.day13A}</t>
  </si>
  <si>
    <t>{.day14A}</t>
  </si>
  <si>
    <t>{.day15A}</t>
  </si>
  <si>
    <t>{.day16A}</t>
  </si>
  <si>
    <t>{.day17A}</t>
  </si>
  <si>
    <t>{.day18A}</t>
  </si>
  <si>
    <t>{.day19A}</t>
  </si>
  <si>
    <t>{.day20A}</t>
  </si>
  <si>
    <t>{.day21A}</t>
  </si>
  <si>
    <t>{.day22A}</t>
  </si>
  <si>
    <t>{.day23A}</t>
  </si>
  <si>
    <t>{.day24A}</t>
  </si>
  <si>
    <t>{.day25A}</t>
  </si>
  <si>
    <t>{.day26A}</t>
  </si>
  <si>
    <t>{.day27A}</t>
  </si>
  <si>
    <t>{.day28A}</t>
  </si>
  <si>
    <t>{.day29A}</t>
  </si>
  <si>
    <t>{.day30A}</t>
  </si>
  <si>
    <t>{.day31A}</t>
  </si>
  <si>
    <t>{.totalAllA}</t>
  </si>
  <si>
    <t>{locationType}</t>
  </si>
  <si>
    <t>{materialCode}</t>
  </si>
  <si>
    <t>{mesMaterialCode}</t>
  </si>
  <si>
    <t>{materialDesc}</t>
  </si>
  <si>
    <t>{structureName}</t>
  </si>
  <si>
    <t>{structureType}</t>
  </si>
  <si>
    <t>{productStatus}</t>
  </si>
  <si>
    <t>{embryoCode}</t>
  </si>
  <si>
    <t>{mainMaterialDesc}</t>
  </si>
  <si>
    <t>{constructionStage}</t>
  </si>
  <si>
    <t>{brand}</t>
  </si>
  <si>
    <t>{specifications}</t>
  </si>
  <si>
    <t>{mainPattern}</t>
  </si>
  <si>
    <t>{pattern}</t>
  </si>
  <si>
    <t>{proSize}</t>
  </si>
  <si>
    <t>{singleTireWeight}</t>
  </si>
  <si>
    <t>{productCategory}</t>
  </si>
  <si>
    <t>{mouldCavityQty}</t>
  </si>
  <si>
    <t>{typeBlockQty}</t>
  </si>
  <si>
    <t>{averageSaleQty}</t>
  </si>
  <si>
    <t>{inventorySalesRatio}</t>
  </si>
  <si>
    <t>{dayVulcanizationQty}</t>
  </si>
  <si>
    <t>{prodReqPlan}</t>
  </si>
  <si>
    <t>{unRestrictedNetQty}</t>
  </si>
  <si>
    <t>{restrictedNetQty}</t>
  </si>
  <si>
    <t>{lastMonthRemainQty}</t>
  </si>
  <si>
    <t>{productSurplus}</t>
  </si>
  <si>
    <t>{pendingQty}</t>
  </si>
  <si>
    <t>{originalTotalQty}</t>
  </si>
  <si>
    <t>{adjustProductQty1}</t>
  </si>
  <si>
    <t>{adjustQty1}</t>
  </si>
  <si>
    <t>{adjustProductQty2}</t>
  </si>
  <si>
    <t>{adjustQty2}</t>
  </si>
  <si>
    <t>{adjustProductQty3}</t>
  </si>
  <si>
    <t>{adjustQty3}</t>
  </si>
  <si>
    <t>{adjustProductQty4}</t>
  </si>
  <si>
    <t>{adjustQty4}</t>
  </si>
  <si>
    <t>{beginDay}</t>
  </si>
  <si>
    <t>{endDay}</t>
  </si>
  <si>
    <t>{lastDay2}</t>
  </si>
  <si>
    <t>{lastDay1}</t>
  </si>
  <si>
    <t>{day1}</t>
  </si>
  <si>
    <t>{day2}</t>
  </si>
  <si>
    <t>{day3}</t>
  </si>
  <si>
    <t>{day4}</t>
  </si>
  <si>
    <t>{day5}</t>
  </si>
  <si>
    <t>{day6}</t>
  </si>
  <si>
    <t>{day7}</t>
  </si>
  <si>
    <t>{day8}</t>
  </si>
  <si>
    <t>{day9}</t>
  </si>
  <si>
    <t>{day10}</t>
  </si>
  <si>
    <t>{day11}</t>
  </si>
  <si>
    <t>{day12}</t>
  </si>
  <si>
    <t>{day13}</t>
  </si>
  <si>
    <t>{day14}</t>
  </si>
  <si>
    <t>{day15}</t>
  </si>
  <si>
    <t>{day16}</t>
  </si>
  <si>
    <t>{day17}</t>
  </si>
  <si>
    <t>{day18}</t>
  </si>
  <si>
    <t>{day19}</t>
  </si>
  <si>
    <t>{day20}</t>
  </si>
  <si>
    <t>{day21}</t>
  </si>
  <si>
    <t>{day22}</t>
  </si>
  <si>
    <t>{day23}</t>
  </si>
  <si>
    <t>{day24}</t>
  </si>
  <si>
    <t>{day25}</t>
  </si>
  <si>
    <t>{day26}</t>
  </si>
  <si>
    <t>{day27}</t>
  </si>
  <si>
    <t>{day28}</t>
  </si>
  <si>
    <t>{day29}</t>
  </si>
  <si>
    <t>{day30}</t>
  </si>
  <si>
    <t>{day31}</t>
  </si>
  <si>
    <t>{totalAll}</t>
  </si>
  <si>
    <t>{.locationType}</t>
  </si>
  <si>
    <t>{.materialCode}</t>
  </si>
  <si>
    <t>{.mesMaterialCode}</t>
  </si>
  <si>
    <t>{.materialDesc}</t>
  </si>
  <si>
    <t>{.structureName}</t>
  </si>
  <si>
    <t>{.structureType}</t>
  </si>
  <si>
    <t>{.productStatus}</t>
  </si>
  <si>
    <t>{.embryoCode}</t>
  </si>
  <si>
    <t>{.mainMaterialDesc}</t>
  </si>
  <si>
    <t>{.constructionStage}</t>
  </si>
  <si>
    <t>{.brand}</t>
  </si>
  <si>
    <t>{.specifications}</t>
  </si>
  <si>
    <t>{.mainPattern}</t>
  </si>
  <si>
    <t>{.pattern}</t>
  </si>
  <si>
    <t>{.proSize}</t>
  </si>
  <si>
    <t>{.singleTireWeight}</t>
  </si>
  <si>
    <t>{.productCategory}</t>
  </si>
  <si>
    <t>{.mouldCavityQty}</t>
  </si>
  <si>
    <t>{.typeBlockQty}</t>
  </si>
  <si>
    <t>{.averageSaleQty}</t>
  </si>
  <si>
    <t>{.inventorySalesRatio}</t>
  </si>
  <si>
    <t>{.dayVulcanizationQty}</t>
  </si>
  <si>
    <t>{.prodReqPlan}</t>
  </si>
  <si>
    <t>{.unRestrictedNetQty}</t>
  </si>
  <si>
    <t>{.restrictedNetQty}</t>
  </si>
  <si>
    <t>{.lastMonthRemainQty}</t>
  </si>
  <si>
    <t>{.productSurplus}</t>
  </si>
  <si>
    <t>{.pendingQty}</t>
  </si>
  <si>
    <t>{.originalTotalQty}</t>
  </si>
  <si>
    <t>{.adjustProductQty1}</t>
  </si>
  <si>
    <t>{.adjustQty1}</t>
  </si>
  <si>
    <t>{.adjustProductQty2}</t>
  </si>
  <si>
    <t>{.adjustQty2}</t>
  </si>
  <si>
    <t>{.adjustProductQty3}</t>
  </si>
  <si>
    <t>{.adjustQty3}</t>
  </si>
  <si>
    <t>{.adjustProductQty4}</t>
  </si>
  <si>
    <t>{.adjustQty4}</t>
  </si>
  <si>
    <t>{.beginDay}</t>
  </si>
  <si>
    <t>{.endDay}</t>
  </si>
  <si>
    <t>{.lastDay2}</t>
  </si>
  <si>
    <t>{.lastDay1}</t>
  </si>
  <si>
    <t>{.day1}</t>
  </si>
  <si>
    <t>{.day2}</t>
  </si>
  <si>
    <t>{.day3}</t>
  </si>
  <si>
    <t>{.day4}</t>
  </si>
  <si>
    <t>{.day5}</t>
  </si>
  <si>
    <t>{.day6}</t>
  </si>
  <si>
    <t>{.day7}</t>
  </si>
  <si>
    <t>{.day8}</t>
  </si>
  <si>
    <t>{.day9}</t>
  </si>
  <si>
    <t>{.day10}</t>
  </si>
  <si>
    <t>{.day11}</t>
  </si>
  <si>
    <t>{.day12}</t>
  </si>
  <si>
    <t>{.day13}</t>
  </si>
  <si>
    <t>{.day14}</t>
  </si>
  <si>
    <t>{.day15}</t>
  </si>
  <si>
    <t>{.day16}</t>
  </si>
  <si>
    <t>{.day17}</t>
  </si>
  <si>
    <t>{.day18}</t>
  </si>
  <si>
    <t>{.day19}</t>
  </si>
  <si>
    <t>{.day20}</t>
  </si>
  <si>
    <t>{.day21}</t>
  </si>
  <si>
    <t>{.day22}</t>
  </si>
  <si>
    <t>{.day23}</t>
  </si>
  <si>
    <t>{.day24}</t>
  </si>
  <si>
    <t>{.day25}</t>
  </si>
  <si>
    <t>{.day26}</t>
  </si>
  <si>
    <t>{.day27}</t>
  </si>
  <si>
    <t>{.day28}</t>
  </si>
  <si>
    <t>{.day29}</t>
  </si>
  <si>
    <t>{.day30}</t>
  </si>
  <si>
    <t>{.day31}</t>
  </si>
  <si>
    <t>{.totalAll}</t>
  </si>
  <si>
    <t>{.lastMonthOverdueQtyA}</t>
    <phoneticPr fontId="6" type="noConversion"/>
  </si>
  <si>
    <t>{lastMonthOverdueQty}</t>
    <phoneticPr fontId="6" type="noConversion"/>
  </si>
  <si>
    <t>{.lastMonthOverdueQty}</t>
    <phoneticPr fontId="6" type="noConversion"/>
  </si>
  <si>
    <t>{lastMonthValidFlag}</t>
    <phoneticPr fontId="6" type="noConversion"/>
  </si>
  <si>
    <t>{.lastMonthValidFlag}</t>
    <phoneticPr fontId="6" type="noConversion"/>
  </si>
  <si>
    <t>{.lastDay10A}</t>
    <phoneticPr fontId="6" type="noConversion"/>
  </si>
  <si>
    <t>{.lastDay9A}</t>
    <phoneticPr fontId="6" type="noConversion"/>
  </si>
  <si>
    <t>{.lastDay8A}</t>
  </si>
  <si>
    <t>{.lastDay7A}</t>
  </si>
  <si>
    <t>{.lastDay6A}</t>
  </si>
  <si>
    <t>{.lastDay5A}</t>
  </si>
  <si>
    <t>{.lastDay4A}</t>
  </si>
  <si>
    <t>{.lastDay3A}</t>
  </si>
  <si>
    <t>{lastDay10}</t>
    <phoneticPr fontId="6" type="noConversion"/>
  </si>
  <si>
    <t>{lastDay9}</t>
    <phoneticPr fontId="6" type="noConversion"/>
  </si>
  <si>
    <t>{lastDay8}</t>
  </si>
  <si>
    <t>{lastDay7}</t>
  </si>
  <si>
    <t>{lastDay6}</t>
  </si>
  <si>
    <t>{lastDay5}</t>
  </si>
  <si>
    <t>{lastDay4}</t>
  </si>
  <si>
    <t>{lastDay3}</t>
  </si>
  <si>
    <t>{.lastDay10}</t>
    <phoneticPr fontId="6" type="noConversion"/>
  </si>
  <si>
    <t>{.lastDay9}</t>
    <phoneticPr fontId="6" type="noConversion"/>
  </si>
  <si>
    <t>{.lastDay8}</t>
  </si>
  <si>
    <t>{.lastDay7}</t>
  </si>
  <si>
    <t>{.lastDay6}</t>
  </si>
  <si>
    <t>{.lastDay5}</t>
  </si>
  <si>
    <t>{.lastDay4}</t>
  </si>
  <si>
    <t>{.lastDay3}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</si>
</sst>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_ "/>
    <numFmt numFmtId="177" formatCode="0.00_ "/>
    <numFmt numFmtId="178" formatCode="0;\-0;;@"/>
  </numFmts>
  <fonts count="11" x14ac:knownFonts="1">
    <font>
      <sz val="11"/>
      <color indexed="8"/>
      <name val="等线"/>
      <charset val="134"/>
      <scheme val="minor"/>
    </font>
    <font>
      <sz val="11"/>
      <color indexed="8"/>
      <name val="等线"/>
      <family val="3"/>
      <charset val="134"/>
      <scheme val="minor"/>
    </font>
    <font>
      <b/>
      <sz val="9"/>
      <color indexed="8"/>
      <name val="等线"/>
      <family val="3"/>
      <charset val="134"/>
      <scheme val="minor"/>
    </font>
    <font>
      <sz val="9"/>
      <color indexed="8"/>
      <name val="等线"/>
      <family val="3"/>
      <charset val="134"/>
      <scheme val="minor"/>
    </font>
    <font>
      <b/>
      <sz val="9"/>
      <name val="等线"/>
      <family val="3"/>
      <charset val="134"/>
      <scheme val="minor"/>
    </font>
    <font>
      <b/>
      <sz val="9"/>
      <color rgb="FFFFFFFF"/>
      <name val="等线"/>
      <family val="3"/>
      <charset val="134"/>
      <scheme val="minor"/>
    </font>
    <font>
      <sz val="9"/>
      <name val="等线"/>
      <family val="3"/>
      <charset val="134"/>
      <scheme val="minor"/>
    </font>
    <font>
      <b/>
      <sz val="9"/>
      <name val="等线"/>
      <family val="3"/>
      <charset val="134"/>
      <scheme val="minor"/>
    </font>
    <font>
      <b/>
      <sz val="9"/>
      <color rgb="FFFFFFFF"/>
      <name val="等线"/>
      <family val="3"/>
      <charset val="134"/>
      <scheme val="minor"/>
    </font>
    <font>
      <sz val="9"/>
      <color indexed="8"/>
      <name val="等线"/>
      <family val="3"/>
      <charset val="134"/>
      <scheme val="minor"/>
    </font>
    <font>
      <sz val="11"/>
      <color indexed="8"/>
      <name val="等线"/>
      <family val="3"/>
      <charset val="134"/>
      <scheme val="minor"/>
    </font>
  </fonts>
  <fills count="6">
    <fill>
      <patternFill patternType="none"/>
    </fill>
    <fill>
      <patternFill patternType="gray125"/>
    </fill>
    <fill>
      <patternFill patternType="solid">
        <fgColor rgb="FFDAEEF3"/>
        <bgColor indexed="64"/>
      </patternFill>
    </fill>
    <fill>
      <patternFill patternType="solid">
        <fgColor rgb="FF00808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DAEEF3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20">
    <xf numFmtId="0" fontId="0" fillId="0" borderId="0" xfId="0">
      <alignment vertical="center"/>
    </xf>
    <xf numFmtId="0" fontId="1" fillId="0" borderId="0" xfId="0" applyFont="1">
      <alignment vertical="center"/>
    </xf>
    <xf numFmtId="0" fontId="0" fillId="0" borderId="0" xfId="0" applyAlignment="1">
      <alignment vertical="center" wrapText="1"/>
    </xf>
    <xf numFmtId="0" fontId="2" fillId="0" borderId="0" xfId="0" applyFont="1">
      <alignment vertical="center"/>
    </xf>
    <xf numFmtId="0" fontId="3" fillId="0" borderId="0" xfId="0" applyFont="1" applyAlignment="1">
      <alignment horizontal="center" vertical="center"/>
    </xf>
    <xf numFmtId="0" fontId="3" fillId="0" borderId="0" xfId="0" applyFont="1">
      <alignment vertical="center"/>
    </xf>
    <xf numFmtId="0" fontId="4" fillId="2" borderId="0" xfId="0" applyFont="1" applyFill="1" applyAlignment="1"/>
    <xf numFmtId="0" fontId="5" fillId="3" borderId="1" xfId="0" applyFont="1" applyFill="1" applyBorder="1" applyAlignment="1">
      <alignment horizontal="center" vertical="top" wrapText="1"/>
    </xf>
    <xf numFmtId="176" fontId="3" fillId="0" borderId="1" xfId="0" applyNumberFormat="1" applyFont="1" applyBorder="1">
      <alignment vertical="center"/>
    </xf>
    <xf numFmtId="0" fontId="3" fillId="0" borderId="1" xfId="0" applyFont="1" applyBorder="1">
      <alignment vertical="center"/>
    </xf>
    <xf numFmtId="176" fontId="4" fillId="2" borderId="0" xfId="0" applyNumberFormat="1" applyFont="1" applyFill="1" applyAlignment="1"/>
    <xf numFmtId="177" fontId="4" fillId="2" borderId="0" xfId="0" applyNumberFormat="1" applyFont="1" applyFill="1" applyAlignment="1"/>
    <xf numFmtId="177" fontId="3" fillId="0" borderId="1" xfId="0" applyNumberFormat="1" applyFont="1" applyBorder="1">
      <alignment vertical="center"/>
    </xf>
    <xf numFmtId="176" fontId="5" fillId="4" borderId="1" xfId="0" applyNumberFormat="1" applyFont="1" applyFill="1" applyBorder="1" applyAlignment="1">
      <alignment vertical="center" wrapText="1"/>
    </xf>
    <xf numFmtId="176" fontId="7" fillId="2" borderId="0" xfId="0" applyNumberFormat="1" applyFont="1" applyFill="1" applyAlignment="1"/>
    <xf numFmtId="0" fontId="8" fillId="3" borderId="1" xfId="0" applyFont="1" applyFill="1" applyBorder="1" applyAlignment="1">
      <alignment horizontal="center" vertical="top" wrapText="1"/>
    </xf>
    <xf numFmtId="176" fontId="9" fillId="0" borderId="1" xfId="0" applyNumberFormat="1" applyFont="1" applyBorder="1">
      <alignment vertical="center"/>
    </xf>
    <xf numFmtId="0" fontId="10" fillId="0" borderId="0" xfId="0" applyFont="1" applyAlignment="1">
      <alignment vertical="center" wrapText="1"/>
    </xf>
    <xf numFmtId="178" fontId="3" fillId="0" borderId="1" xfId="0" applyNumberFormat="1" applyFont="1" applyBorder="1">
      <alignment vertical="center"/>
    </xf>
    <xf numFmtId="176" fontId="4" fillId="5" borderId="0" xfId="0" applyNumberFormat="1" applyFont="1" applyFill="1" applyAlignment="1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F7"/>
  <sheetViews>
    <sheetView tabSelected="1" zoomScale="80" zoomScaleNormal="80" workbookViewId="0">
      <pane xSplit="10" ySplit="4" topLeftCell="K6" activePane="bottomRight" state="frozen"/>
      <selection pane="topRight"/>
      <selection pane="bottomLeft"/>
      <selection pane="bottomRight" activeCell="A4" sqref="A4"/>
    </sheetView>
  </sheetViews>
  <sheetFormatPr defaultColWidth="9" defaultRowHeight="14" x14ac:dyDescent="0.3"/>
  <cols>
    <col min="1" max="1" width="4" customWidth="1"/>
    <col min="2" max="3" width="7.9140625" customWidth="1"/>
    <col min="4" max="4" width="33.6640625" customWidth="1"/>
    <col min="5" max="5" width="12.1640625" customWidth="1"/>
    <col min="6" max="7" width="9.33203125" customWidth="1"/>
    <col min="8" max="8" width="8.83203125" customWidth="1"/>
    <col min="9" max="9" width="30.5" customWidth="1"/>
    <col min="10" max="10" width="5.1640625" customWidth="1"/>
    <col min="11" max="12" width="9.83203125" customWidth="1"/>
    <col min="13" max="15" width="9.08203125" customWidth="1"/>
    <col min="16" max="16" width="4.58203125" customWidth="1"/>
    <col min="17" max="17" width="7.83203125" customWidth="1"/>
    <col min="18" max="19" width="5.4140625" customWidth="1"/>
    <col min="20" max="20" width="5.9140625" customWidth="1"/>
    <col min="21" max="22" width="5.75" customWidth="1"/>
    <col min="23" max="31" width="6.33203125" customWidth="1"/>
    <col min="32" max="39" width="7.08203125" customWidth="1"/>
    <col min="40" max="82" width="6.08203125" customWidth="1"/>
    <col min="83" max="83" width="8.4140625" customWidth="1"/>
    <col min="84" max="84" width="6.08203125" hidden="1" customWidth="1"/>
    <col min="85" max="87" width="6.08203125" customWidth="1"/>
    <col min="88" max="89" width="16.75" customWidth="1"/>
  </cols>
  <sheetData>
    <row r="1" spans="1:84" s="1" customFormat="1" ht="30.75" customHeight="1" x14ac:dyDescent="0.3">
      <c r="A1" s="3" t="s">
        <v>0</v>
      </c>
      <c r="B1" s="4"/>
      <c r="C1" s="5"/>
      <c r="D1" s="5"/>
      <c r="E1" s="5"/>
      <c r="F1" s="5"/>
      <c r="G1" s="5"/>
      <c r="H1" s="5"/>
      <c r="I1" s="5"/>
      <c r="J1" s="5"/>
      <c r="K1" s="4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 t="s">
        <v>1</v>
      </c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  <c r="BN1" s="5"/>
      <c r="BO1" s="5"/>
      <c r="BP1" s="5"/>
      <c r="BQ1" s="5"/>
      <c r="BR1" s="5"/>
      <c r="BS1" s="5"/>
      <c r="BT1" s="5"/>
      <c r="BU1" s="5"/>
      <c r="BV1" s="5"/>
      <c r="BW1" s="5" t="s">
        <v>2</v>
      </c>
      <c r="BX1" s="5"/>
      <c r="BY1" s="5"/>
      <c r="BZ1" s="5"/>
      <c r="CA1" s="5"/>
      <c r="CB1" s="5" t="s">
        <v>3</v>
      </c>
      <c r="CC1" s="5"/>
      <c r="CD1" s="5"/>
      <c r="CE1" s="5"/>
    </row>
    <row r="2" spans="1:84" s="1" customFormat="1" ht="11.5" customHeight="1" x14ac:dyDescent="0.25">
      <c r="A2" s="6" t="s">
        <v>4</v>
      </c>
      <c r="B2" s="6" t="s">
        <v>5</v>
      </c>
      <c r="C2" s="6" t="s">
        <v>6</v>
      </c>
      <c r="D2" s="6" t="s">
        <v>7</v>
      </c>
      <c r="E2" s="6" t="s">
        <v>8</v>
      </c>
      <c r="F2" s="6" t="s">
        <v>9</v>
      </c>
      <c r="G2" s="6" t="s">
        <v>10</v>
      </c>
      <c r="H2" s="6" t="s">
        <v>11</v>
      </c>
      <c r="I2" s="6" t="s">
        <v>12</v>
      </c>
      <c r="J2" s="6" t="s">
        <v>13</v>
      </c>
      <c r="K2" s="6" t="s">
        <v>14</v>
      </c>
      <c r="L2" s="6" t="s">
        <v>15</v>
      </c>
      <c r="M2" s="6" t="s">
        <v>16</v>
      </c>
      <c r="N2" s="6" t="s">
        <v>17</v>
      </c>
      <c r="O2" s="6" t="s">
        <v>18</v>
      </c>
      <c r="P2" s="6" t="s">
        <v>19</v>
      </c>
      <c r="Q2" s="6" t="s">
        <v>20</v>
      </c>
      <c r="R2" s="6" t="s">
        <v>21</v>
      </c>
      <c r="S2" s="6" t="s">
        <v>22</v>
      </c>
      <c r="T2" s="10" t="s">
        <v>23</v>
      </c>
      <c r="U2" s="11" t="s">
        <v>24</v>
      </c>
      <c r="V2" s="10" t="s">
        <v>25</v>
      </c>
      <c r="W2" s="10" t="s">
        <v>26</v>
      </c>
      <c r="X2" s="10" t="s">
        <v>27</v>
      </c>
      <c r="Y2" s="10" t="s">
        <v>28</v>
      </c>
      <c r="Z2" s="10" t="s">
        <v>29</v>
      </c>
      <c r="AA2" s="10" t="s">
        <v>30</v>
      </c>
      <c r="AB2" s="10" t="s">
        <v>31</v>
      </c>
      <c r="AC2" s="14" t="s">
        <v>223</v>
      </c>
      <c r="AD2" s="14"/>
      <c r="AE2" s="10" t="s">
        <v>32</v>
      </c>
      <c r="AF2" s="10" t="s">
        <v>33</v>
      </c>
      <c r="AG2" s="10" t="s">
        <v>34</v>
      </c>
      <c r="AH2" s="10" t="s">
        <v>35</v>
      </c>
      <c r="AI2" s="10" t="s">
        <v>36</v>
      </c>
      <c r="AJ2" s="10" t="s">
        <v>37</v>
      </c>
      <c r="AK2" s="10" t="s">
        <v>38</v>
      </c>
      <c r="AL2" s="10" t="s">
        <v>39</v>
      </c>
      <c r="AM2" s="10" t="s">
        <v>40</v>
      </c>
      <c r="AN2" s="10" t="s">
        <v>41</v>
      </c>
      <c r="AO2" s="10" t="s">
        <v>42</v>
      </c>
      <c r="AP2" s="19" t="s">
        <v>228</v>
      </c>
      <c r="AQ2" s="19" t="s">
        <v>229</v>
      </c>
      <c r="AR2" s="19" t="s">
        <v>230</v>
      </c>
      <c r="AS2" s="19" t="s">
        <v>231</v>
      </c>
      <c r="AT2" s="19" t="s">
        <v>232</v>
      </c>
      <c r="AU2" s="19" t="s">
        <v>233</v>
      </c>
      <c r="AV2" s="19" t="s">
        <v>234</v>
      </c>
      <c r="AW2" s="19" t="s">
        <v>235</v>
      </c>
      <c r="AX2" s="10" t="s">
        <v>43</v>
      </c>
      <c r="AY2" s="10" t="s">
        <v>44</v>
      </c>
      <c r="AZ2" s="10" t="s">
        <v>45</v>
      </c>
      <c r="BA2" s="10" t="s">
        <v>46</v>
      </c>
      <c r="BB2" s="10" t="s">
        <v>47</v>
      </c>
      <c r="BC2" s="10" t="s">
        <v>48</v>
      </c>
      <c r="BD2" s="10" t="s">
        <v>49</v>
      </c>
      <c r="BE2" s="10" t="s">
        <v>50</v>
      </c>
      <c r="BF2" s="10" t="s">
        <v>51</v>
      </c>
      <c r="BG2" s="10" t="s">
        <v>52</v>
      </c>
      <c r="BH2" s="10" t="s">
        <v>53</v>
      </c>
      <c r="BI2" s="10" t="s">
        <v>54</v>
      </c>
      <c r="BJ2" s="10" t="s">
        <v>55</v>
      </c>
      <c r="BK2" s="10" t="s">
        <v>56</v>
      </c>
      <c r="BL2" s="10" t="s">
        <v>57</v>
      </c>
      <c r="BM2" s="10" t="s">
        <v>58</v>
      </c>
      <c r="BN2" s="10" t="s">
        <v>59</v>
      </c>
      <c r="BO2" s="10" t="s">
        <v>60</v>
      </c>
      <c r="BP2" s="10" t="s">
        <v>61</v>
      </c>
      <c r="BQ2" s="10" t="s">
        <v>62</v>
      </c>
      <c r="BR2" s="10" t="s">
        <v>63</v>
      </c>
      <c r="BS2" s="10" t="s">
        <v>64</v>
      </c>
      <c r="BT2" s="10" t="s">
        <v>65</v>
      </c>
      <c r="BU2" s="10" t="s">
        <v>66</v>
      </c>
      <c r="BV2" s="10" t="s">
        <v>67</v>
      </c>
      <c r="BW2" s="10" t="s">
        <v>68</v>
      </c>
      <c r="BX2" s="10" t="s">
        <v>69</v>
      </c>
      <c r="BY2" s="10" t="s">
        <v>70</v>
      </c>
      <c r="BZ2" s="10" t="s">
        <v>71</v>
      </c>
      <c r="CA2" s="10" t="s">
        <v>72</v>
      </c>
      <c r="CB2" s="10" t="s">
        <v>73</v>
      </c>
      <c r="CC2" s="10" t="s">
        <v>74</v>
      </c>
      <c r="CD2" s="10" t="s">
        <v>75</v>
      </c>
      <c r="CE2" s="10" t="s">
        <v>76</v>
      </c>
    </row>
    <row r="3" spans="1:84" s="2" customFormat="1" ht="48" customHeight="1" x14ac:dyDescent="0.3">
      <c r="A3" s="7" t="s">
        <v>77</v>
      </c>
      <c r="B3" s="7" t="s">
        <v>78</v>
      </c>
      <c r="C3" s="7" t="s">
        <v>79</v>
      </c>
      <c r="D3" s="7" t="s">
        <v>80</v>
      </c>
      <c r="E3" s="7" t="s">
        <v>81</v>
      </c>
      <c r="F3" s="7" t="s">
        <v>82</v>
      </c>
      <c r="G3" s="7" t="s">
        <v>83</v>
      </c>
      <c r="H3" s="7" t="s">
        <v>84</v>
      </c>
      <c r="I3" s="7" t="s">
        <v>85</v>
      </c>
      <c r="J3" s="7" t="s">
        <v>86</v>
      </c>
      <c r="K3" s="7" t="s">
        <v>87</v>
      </c>
      <c r="L3" s="7" t="s">
        <v>88</v>
      </c>
      <c r="M3" s="7" t="s">
        <v>89</v>
      </c>
      <c r="N3" s="7" t="s">
        <v>90</v>
      </c>
      <c r="O3" s="7" t="s">
        <v>91</v>
      </c>
      <c r="P3" s="7" t="s">
        <v>92</v>
      </c>
      <c r="Q3" s="7" t="s">
        <v>93</v>
      </c>
      <c r="R3" s="7" t="s">
        <v>94</v>
      </c>
      <c r="S3" s="7" t="s">
        <v>95</v>
      </c>
      <c r="T3" s="7" t="s">
        <v>96</v>
      </c>
      <c r="U3" s="7" t="s">
        <v>97</v>
      </c>
      <c r="V3" s="7" t="s">
        <v>98</v>
      </c>
      <c r="W3" s="7" t="s">
        <v>99</v>
      </c>
      <c r="X3" s="7" t="s">
        <v>100</v>
      </c>
      <c r="Y3" s="7" t="s">
        <v>101</v>
      </c>
      <c r="Z3" s="7" t="s">
        <v>102</v>
      </c>
      <c r="AA3" s="7" t="s">
        <v>103</v>
      </c>
      <c r="AB3" s="7" t="s">
        <v>104</v>
      </c>
      <c r="AC3" s="15" t="s">
        <v>224</v>
      </c>
      <c r="AD3" s="15" t="s">
        <v>226</v>
      </c>
      <c r="AE3" s="7" t="s">
        <v>105</v>
      </c>
      <c r="AF3" s="7" t="s">
        <v>106</v>
      </c>
      <c r="AG3" s="7" t="s">
        <v>107</v>
      </c>
      <c r="AH3" s="7" t="s">
        <v>108</v>
      </c>
      <c r="AI3" s="7" t="s">
        <v>109</v>
      </c>
      <c r="AJ3" s="7" t="s">
        <v>110</v>
      </c>
      <c r="AK3" s="7" t="s">
        <v>111</v>
      </c>
      <c r="AL3" s="7" t="s">
        <v>112</v>
      </c>
      <c r="AM3" s="7" t="s">
        <v>113</v>
      </c>
      <c r="AN3" s="7" t="s">
        <v>114</v>
      </c>
      <c r="AO3" s="7" t="s">
        <v>115</v>
      </c>
      <c r="AP3" s="7" t="s">
        <v>236</v>
      </c>
      <c r="AQ3" s="7" t="s">
        <v>237</v>
      </c>
      <c r="AR3" s="7" t="s">
        <v>238</v>
      </c>
      <c r="AS3" s="7" t="s">
        <v>239</v>
      </c>
      <c r="AT3" s="7" t="s">
        <v>240</v>
      </c>
      <c r="AU3" s="7" t="s">
        <v>241</v>
      </c>
      <c r="AV3" s="7" t="s">
        <v>242</v>
      </c>
      <c r="AW3" s="7" t="s">
        <v>243</v>
      </c>
      <c r="AX3" s="7" t="s">
        <v>116</v>
      </c>
      <c r="AY3" s="7" t="s">
        <v>117</v>
      </c>
      <c r="AZ3" s="7" t="s">
        <v>118</v>
      </c>
      <c r="BA3" s="7" t="s">
        <v>119</v>
      </c>
      <c r="BB3" s="7" t="s">
        <v>120</v>
      </c>
      <c r="BC3" s="7" t="s">
        <v>121</v>
      </c>
      <c r="BD3" s="7" t="s">
        <v>122</v>
      </c>
      <c r="BE3" s="7" t="s">
        <v>123</v>
      </c>
      <c r="BF3" s="7" t="s">
        <v>124</v>
      </c>
      <c r="BG3" s="7" t="s">
        <v>125</v>
      </c>
      <c r="BH3" s="7" t="s">
        <v>126</v>
      </c>
      <c r="BI3" s="7" t="s">
        <v>127</v>
      </c>
      <c r="BJ3" s="7" t="s">
        <v>128</v>
      </c>
      <c r="BK3" s="7" t="s">
        <v>129</v>
      </c>
      <c r="BL3" s="7" t="s">
        <v>130</v>
      </c>
      <c r="BM3" s="7" t="s">
        <v>131</v>
      </c>
      <c r="BN3" s="7" t="s">
        <v>132</v>
      </c>
      <c r="BO3" s="7" t="s">
        <v>133</v>
      </c>
      <c r="BP3" s="7" t="s">
        <v>134</v>
      </c>
      <c r="BQ3" s="7" t="s">
        <v>135</v>
      </c>
      <c r="BR3" s="7" t="s">
        <v>136</v>
      </c>
      <c r="BS3" s="7" t="s">
        <v>137</v>
      </c>
      <c r="BT3" s="7" t="s">
        <v>138</v>
      </c>
      <c r="BU3" s="7" t="s">
        <v>139</v>
      </c>
      <c r="BV3" s="7" t="s">
        <v>140</v>
      </c>
      <c r="BW3" s="7" t="s">
        <v>141</v>
      </c>
      <c r="BX3" s="7" t="s">
        <v>142</v>
      </c>
      <c r="BY3" s="7" t="s">
        <v>143</v>
      </c>
      <c r="BZ3" s="7" t="s">
        <v>144</v>
      </c>
      <c r="CA3" s="7" t="s">
        <v>145</v>
      </c>
      <c r="CB3" s="7" t="s">
        <v>146</v>
      </c>
      <c r="CC3" s="7" t="s">
        <v>147</v>
      </c>
      <c r="CD3" s="7" t="s">
        <v>148</v>
      </c>
      <c r="CE3" s="7" t="s">
        <v>149</v>
      </c>
    </row>
    <row r="4" spans="1:84" s="2" customFormat="1" ht="14.5" customHeight="1" x14ac:dyDescent="0.3">
      <c r="A4" s="8" t="s">
        <v>150</v>
      </c>
      <c r="B4" s="9" t="s">
        <v>151</v>
      </c>
      <c r="C4" s="9" t="s">
        <v>152</v>
      </c>
      <c r="D4" s="9" t="s">
        <v>153</v>
      </c>
      <c r="E4" s="9" t="s">
        <v>154</v>
      </c>
      <c r="F4" s="9" t="s">
        <v>155</v>
      </c>
      <c r="G4" s="9" t="s">
        <v>156</v>
      </c>
      <c r="H4" s="9" t="s">
        <v>157</v>
      </c>
      <c r="I4" s="9" t="s">
        <v>158</v>
      </c>
      <c r="J4" s="9" t="s">
        <v>159</v>
      </c>
      <c r="K4" s="9" t="s">
        <v>160</v>
      </c>
      <c r="L4" s="9" t="s">
        <v>161</v>
      </c>
      <c r="M4" s="9" t="s">
        <v>162</v>
      </c>
      <c r="N4" s="9" t="s">
        <v>163</v>
      </c>
      <c r="O4" s="9" t="s">
        <v>164</v>
      </c>
      <c r="P4" s="9" t="s">
        <v>165</v>
      </c>
      <c r="Q4" s="9" t="s">
        <v>166</v>
      </c>
      <c r="R4" s="8" t="s">
        <v>167</v>
      </c>
      <c r="S4" s="8" t="s">
        <v>168</v>
      </c>
      <c r="T4" s="8" t="s">
        <v>169</v>
      </c>
      <c r="U4" s="12" t="s">
        <v>170</v>
      </c>
      <c r="V4" s="8" t="s">
        <v>171</v>
      </c>
      <c r="W4" s="8" t="s">
        <v>172</v>
      </c>
      <c r="X4" s="8" t="s">
        <v>173</v>
      </c>
      <c r="Y4" s="8" t="s">
        <v>174</v>
      </c>
      <c r="Z4" s="8" t="s">
        <v>175</v>
      </c>
      <c r="AA4" s="8" t="s">
        <v>176</v>
      </c>
      <c r="AB4" s="8" t="s">
        <v>177</v>
      </c>
      <c r="AC4" s="16" t="s">
        <v>225</v>
      </c>
      <c r="AD4" s="18" t="str">
        <f>IF(ISBLANK(B4),"",IF(AL4=SUM(AZ4:CD4),CF4,"否"))</f>
        <v>否</v>
      </c>
      <c r="AE4" s="8" t="s">
        <v>178</v>
      </c>
      <c r="AF4" s="8" t="s">
        <v>179</v>
      </c>
      <c r="AG4" s="8" t="s">
        <v>180</v>
      </c>
      <c r="AH4" s="8" t="s">
        <v>181</v>
      </c>
      <c r="AI4" s="8" t="s">
        <v>182</v>
      </c>
      <c r="AJ4" s="8" t="s">
        <v>183</v>
      </c>
      <c r="AK4" s="8" t="s">
        <v>184</v>
      </c>
      <c r="AL4" s="8" t="s">
        <v>185</v>
      </c>
      <c r="AM4" s="8" t="s">
        <v>186</v>
      </c>
      <c r="AN4" s="8" t="s">
        <v>187</v>
      </c>
      <c r="AO4" s="8" t="s">
        <v>188</v>
      </c>
      <c r="AP4" s="8" t="s">
        <v>244</v>
      </c>
      <c r="AQ4" s="8" t="s">
        <v>245</v>
      </c>
      <c r="AR4" s="8" t="s">
        <v>246</v>
      </c>
      <c r="AS4" s="8" t="s">
        <v>247</v>
      </c>
      <c r="AT4" s="8" t="s">
        <v>248</v>
      </c>
      <c r="AU4" s="8" t="s">
        <v>249</v>
      </c>
      <c r="AV4" s="8" t="s">
        <v>250</v>
      </c>
      <c r="AW4" s="8" t="s">
        <v>251</v>
      </c>
      <c r="AX4" s="8" t="s">
        <v>189</v>
      </c>
      <c r="AY4" s="8" t="s">
        <v>190</v>
      </c>
      <c r="AZ4" s="8" t="s">
        <v>191</v>
      </c>
      <c r="BA4" s="8" t="s">
        <v>192</v>
      </c>
      <c r="BB4" s="8" t="s">
        <v>193</v>
      </c>
      <c r="BC4" s="8" t="s">
        <v>194</v>
      </c>
      <c r="BD4" s="8" t="s">
        <v>195</v>
      </c>
      <c r="BE4" s="8" t="s">
        <v>196</v>
      </c>
      <c r="BF4" s="8" t="s">
        <v>197</v>
      </c>
      <c r="BG4" s="8" t="s">
        <v>198</v>
      </c>
      <c r="BH4" s="8" t="s">
        <v>199</v>
      </c>
      <c r="BI4" s="8" t="s">
        <v>200</v>
      </c>
      <c r="BJ4" s="8" t="s">
        <v>201</v>
      </c>
      <c r="BK4" s="8" t="s">
        <v>202</v>
      </c>
      <c r="BL4" s="8" t="s">
        <v>203</v>
      </c>
      <c r="BM4" s="8" t="s">
        <v>204</v>
      </c>
      <c r="BN4" s="8" t="s">
        <v>205</v>
      </c>
      <c r="BO4" s="8" t="s">
        <v>206</v>
      </c>
      <c r="BP4" s="8" t="s">
        <v>207</v>
      </c>
      <c r="BQ4" s="8" t="s">
        <v>208</v>
      </c>
      <c r="BR4" s="8" t="s">
        <v>209</v>
      </c>
      <c r="BS4" s="8" t="s">
        <v>210</v>
      </c>
      <c r="BT4" s="8" t="s">
        <v>211</v>
      </c>
      <c r="BU4" s="8" t="s">
        <v>212</v>
      </c>
      <c r="BV4" s="8" t="s">
        <v>213</v>
      </c>
      <c r="BW4" s="8" t="s">
        <v>214</v>
      </c>
      <c r="BX4" s="8" t="s">
        <v>215</v>
      </c>
      <c r="BY4" s="8" t="s">
        <v>216</v>
      </c>
      <c r="BZ4" s="8" t="s">
        <v>217</v>
      </c>
      <c r="CA4" s="8" t="s">
        <v>218</v>
      </c>
      <c r="CB4" s="8" t="s">
        <v>219</v>
      </c>
      <c r="CC4" s="8" t="s">
        <v>220</v>
      </c>
      <c r="CD4" s="8" t="s">
        <v>221</v>
      </c>
      <c r="CE4" s="13" t="s">
        <v>222</v>
      </c>
      <c r="CF4" s="17" t="s">
        <v>227</v>
      </c>
    </row>
    <row r="6" spans="1:84" x14ac:dyDescent="0.3">
      <c r="A6" s="5"/>
    </row>
    <row r="7" spans="1:84" x14ac:dyDescent="0.3">
      <c r="A7" s="5"/>
    </row>
  </sheetData>
  <autoFilter ref="A4:CE4" xr:uid="{00000000-0009-0000-0000-000000000000}"/>
  <phoneticPr fontId="6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月计划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h hak</cp:lastModifiedBy>
  <dcterms:created xsi:type="dcterms:W3CDTF">2026-03-13T06:14:00Z</dcterms:created>
  <dcterms:modified xsi:type="dcterms:W3CDTF">2026-06-29T02:07:26Z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B7F752BBE7874E5CA9B4A74E92811D54_13</vt:lpwstr>
  </property>
  <property fmtid="{D5CDD505-2E9C-101B-9397-08002B2CF9AE}" pid="3" name="KSOProductBuildVer">
    <vt:lpwstr>2052-12.1.0.21915</vt:lpwstr>
  </property>
  <property fmtid="{D5CDD505-2E9C-101B-9397-08002B2CF9AE}" pid="4" name="CalculationRule">
    <vt:i4>0</vt:i4>
  </property>
</Properties>
</file>