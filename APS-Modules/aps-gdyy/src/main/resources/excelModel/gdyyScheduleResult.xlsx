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739dcf70f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压延计划" sheetId="2" r:id="R278d7450e2b6492c"/>
  </x:sheets>
</x:workbook>
</file>

<file path=xl/sharedStrings.xml><?xml version="1.0" encoding="utf-8"?>
<x:sst xmlns:x="http://schemas.openxmlformats.org/spreadsheetml/2006/main">
  <x:si>
    <x:t xml:space="preserve">全钢压延生产计划单</x:t>
  </x:si>
  <x:si>
    <x:t xml:space="preserve">规格</x:t>
  </x:si>
  <x:si>
    <x:t xml:space="preserve">帘布总需求量m</x:t>
  </x:si>
  <x:si>
    <x:t xml:space="preserve">压延库存m</x:t>
  </x:si>
  <x:si>
    <x:t xml:space="preserve">裁断库存/m</x:t>
  </x:si>
  <x:si>
    <x:t xml:space="preserve">裁断日需求量m</x:t>
  </x:si>
  <x:si>
    <x:t xml:space="preserve">库存班次</x:t>
  </x:si>
  <x:si>
    <x:t xml:space="preserve">库存天数</x:t>
  </x:si>
  <x:si>
    <x:t xml:space="preserve">{previousDate}</x:t>
  </x:si>
  <x:si>
    <x:t xml:space="preserve">{scheduleDate}</x:t>
  </x:si>
  <x:si>
    <x:t xml:space="preserve">{nextDate}</x:t>
  </x:si>
  <x:si>
    <x:t xml:space="preserve">{nextTwoDate}</x:t>
  </x:si>
  <x:si>
    <x:t xml:space="preserve">合计生产量/m</x:t>
  </x:si>
  <x:si>
    <x:t xml:space="preserve">班次</x:t>
  </x:si>
  <x:si>
    <x:t xml:space="preserve">生产后库存天数</x:t>
  </x:si>
  <x:si>
    <x:t xml:space="preserve">顺位</x:t>
  </x:si>
  <x:si>
    <x:t xml:space="preserve">Đêm</x:t>
  </x:si>
  <x:si>
    <x:t xml:space="preserve"> Sáng</x:t>
  </x:si>
  <x:si>
    <x:t xml:space="preserve">Chiều</x:t>
  </x:si>
  <x:si>
    <x:t xml:space="preserve">{.bigRollCode}</x:t>
  </x:si>
  <x:si>
    <x:t xml:space="preserve">{.class1ProduceOrder}</x:t>
  </x:si>
  <x:si>
    <x:t xml:space="preserve">{.class1PlanQty}</x:t>
  </x:si>
  <x:si>
    <x:t xml:space="preserve">{.class2ProduceOrder}</x:t>
  </x:si>
  <x:si>
    <x:t xml:space="preserve">{.class2PlanQty}</x:t>
  </x:si>
  <x:si>
    <x:t xml:space="preserve">{.class3ProduceOrder}</x:t>
  </x:si>
  <x:si>
    <x:t xml:space="preserve">{.class3PlanQty}</x:t>
  </x:si>
  <x:si>
    <x:t xml:space="preserve">{.class4ProduceOrder}</x:t>
  </x:si>
  <x:si>
    <x:t xml:space="preserve">{.class4PlanQty}</x:t>
  </x:si>
  <x:si>
    <x:t xml:space="preserve">{.class5ProduceOrder}</x:t>
  </x:si>
  <x:si>
    <x:t xml:space="preserve">{.class5PlanQty}</x:t>
  </x:si>
  <x:si>
    <x:t xml:space="preserve">{.class6ProduceOrder}</x:t>
  </x:si>
  <x:si>
    <x:t xml:space="preserve">{.class6PlanQty}</x:t>
  </x:si>
  <x:si>
    <x:t xml:space="preserve">{.class7ProduceOrder}</x:t>
  </x:si>
  <x:si>
    <x:t xml:space="preserve">{.class7PlanQty}</x:t>
  </x:si>
  <x:si>
    <x:t xml:space="preserve">{.class8ProduceOrder}</x:t>
  </x:si>
  <x:si>
    <x:t xml:space="preserve">{.class8PlanQty}</x:t>
  </x:si>
  <x:si>
    <x:t xml:space="preserve">合计</x:t>
  </x:si>
  <x:si>
    <x:t xml:space="preserve">胶料需求量</x:t>
  </x:si>
  <x:si>
    <x:t xml:space="preserve">AQC453</x:t>
  </x:si>
  <x:si>
    <x:t xml:space="preserve">\</x:t>
  </x:si>
  <x:si>
    <x:t xml:space="preserve">C481:
13500
C453:
12000</x:t>
  </x:si>
  <x:si>
    <x:t xml:space="preserve">AQC481</x:t>
  </x:si>
  <x:si>
    <x:t xml:space="preserve">C481:
26000
C453:
</x:t>
  </x:si>
  <x:si>
    <x:t xml:space="preserve">AQC492</x:t>
  </x:si>
  <x:si>
    <x:t xml:space="preserve">C481:
C453:
23000</x:t>
  </x:si>
  <x:si>
    <x:t xml:space="preserve">C481:
20000
C453:
</x:t>
  </x:si>
  <x:si>
    <x:t xml:space="preserve">C481:
18000
C453:
6000</x:t>
  </x:si>
  <x:si>
    <x:t xml:space="preserve">850kg</x:t>
  </x:si>
  <x:si>
    <x:t xml:space="preserve">C481:
14000
C453:
12000</x:t>
  </x:si>
  <x:si>
    <x:t xml:space="preserve">C481:
9000
C453:
20000</x:t>
  </x:si>
  <x:si>
    <x:t xml:space="preserve">C481:
6000
C453:
18000</x:t>
  </x:si>
  <x:si>
    <x:t xml:space="preserve">、</x:t>
  </x:si>
  <x:si>
    <x:t xml:space="preserve">1000kg</x:t>
  </x:si>
  <x:si>
    <x:t xml:space="preserve">750kg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</x:si>
</x:sst>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6">
    <x:font>
      <x:sz val="11"/>
      <x:color theme="1"/>
      <x:name val="等线"/>
    </x:font>
    <x:font>
      <x:b/>
      <x:sz val="11"/>
      <x:color theme="1"/>
      <x:name val="等线"/>
    </x:font>
    <x:font>
      <x:b/>
      <x:sz val="9"/>
      <x:color theme="1"/>
      <x:name val="等线"/>
    </x:font>
    <x:font>
      <x:sz val="9"/>
      <x:color theme="1"/>
      <x:name val="等线"/>
    </x:font>
    <x:font>
      <x:sz val="9"/>
      <x:color rgb="FFFF0000"/>
      <x:name val="等线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9" tint="0.79992"/>
      </x:patternFill>
    </x:fill>
    <x:fill>
      <x:patternFill patternType="solid">
        <x:fgColor rgb="FFFFFF00"/>
      </x:patternFill>
    </x:fill>
    <x:fill>
      <x:patternFill patternType="solid">
        <x:fgColor rgb="FFF8BEE2"/>
      </x:patternFill>
    </x:fill>
    <x:fill>
      <x:patternFill patternType="solid">
        <x:fgColor theme="6" tint="0.59996"/>
      </x:patternFill>
    </x:fill>
    <x:fill>
      <x:patternFill patternType="solid">
        <x:fgColor theme="7" tint="0.79992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4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1" fontId="3" fillId="2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176" fontId="3" fillId="3" borderId="1" xfId="0" applyNumberFormat="1" applyFont="1" applyFill="1" applyBorder="1" applyAlignment="1">
      <x:alignment horizontal="center" vertical="center"/>
    </x:xf>
    <x:xf numFmtId="2" fontId="3" fillId="0" borderId="1" xfId="0" applyNumberFormat="1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2" fontId="3" fillId="6" borderId="1" xfId="0" applyNumberFormat="1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3" fillId="7" borderId="1" xfId="0" applyFont="1" applyFill="1" applyBorder="1" applyAlignment="1">
      <x:alignment horizontal="center" vertical="center"/>
    </x:xf>
    <x:xf numFmtId="0" fontId="3" fillId="7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1" fontId="3" fillId="0" borderId="0" xfId="0" applyNumberFormat="1" applyFont="1" applyAlignment="1">
      <x:alignment horizontal="center"/>
    </x:xf>
    <x:xf numFmtId="0" fontId="4" fillId="0" borderId="0" xfId="0" applyFont="1" applyAlignment="1">
      <x:alignment horizontal="center"/>
    </x:xf>
    <x:xf numFmtId="0" fontId="3" fillId="5" borderId="1" xfId="0" applyFont="1" applyFill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" fontId="2" fillId="2" borderId="1" xfId="0" applyNumberFormat="1" applyFont="1" applyFill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2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1" xfId="0" applyFont="1" applyBorder="1" applyAlignment="1">
      <x:alignment horizontal="center" vertical="center"/>
    </x:xf>
    <x:xf numFmtId="58" fontId="3" fillId="0" borderId="1" xfId="0" applyNumberFormat="1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 wrapText="1"/>
    </x:xf>
    <x:xf numFmtId="0" fontId="3" fillId="7" borderId="1" xfId="0" applyFont="1" applyFill="1" applyBorder="1" applyAlignment="1">
      <x:alignment horizontal="center" vertical="center" wrapText="1"/>
    </x:xf>
    <x:xf numFmtId="0" fontId="3" fillId="7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2472cfd7a4b62" /><Relationship Type="http://schemas.openxmlformats.org/officeDocument/2006/relationships/theme" Target="/xl/theme/theme1.xml" Id="R7b32dd6ef01a43f5" /><Relationship Type="http://schemas.openxmlformats.org/officeDocument/2006/relationships/sharedStrings" Target="/xl/sharedStrings.xml" Id="Reabeac7a245a4f88" /><Relationship Type="http://schemas.openxmlformats.org/officeDocument/2006/relationships/worksheet" Target="/xl/worksheets/sheet1.xml" Id="R278d7450e2b649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75" defaultRowHeight="12"/>
  <x:cols>
    <x:col min="1" max="1" width="10.5" style="2" customWidth="1"/>
    <x:col min="2" max="5" width="9.75" style="2" customWidth="1"/>
    <x:col min="6" max="6" width="9.375" style="2" customWidth="1"/>
    <x:col min="7" max="7" width="9.75" style="2" customWidth="1"/>
    <x:col min="8" max="33" width="4.875" style="2" customWidth="1"/>
    <x:col min="34" max="36" width="10.875" style="2" customWidth="1"/>
    <x:col min="37" max="16384" width="8.875" style="2" customWidth="0"/>
  </x:cols>
  <x:sheetData>
    <x:row r="1" s="27" customFormat="1" ht="24" customHeight="1">
      <x:c r="A1" s="28"/>
      <x:c r="B1" s="28"/>
      <x:c r="C1" s="28"/>
      <x:c r="D1" s="28"/>
      <x:c r="E1" s="28"/>
      <x:c r="F1" s="28"/>
      <x:c r="G1" s="28"/>
      <x:c r="H1" s="28" t="s">
        <x:v>0</x:v>
      </x:c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  <x:c r="AH1" s="28"/>
      <x:c r="AI1" s="28"/>
      <x:c r="AJ1" s="28"/>
      <x:c r="AK1" s="26"/>
    </x:row>
    <x:row r="2" s="1" customFormat="1">
      <x:c r="A2" s="31" t="s">
        <x:v>1</x:v>
      </x:c>
      <x:c r="B2" s="31" t="s">
        <x:v>2</x:v>
      </x:c>
      <x:c r="C2" s="30" t="s">
        <x:v>3</x:v>
      </x:c>
      <x:c r="D2" s="30" t="s">
        <x:v>4</x:v>
      </x:c>
      <x:c r="E2" s="30" t="s">
        <x:v>5</x:v>
      </x:c>
      <x:c r="F2" s="32" t="s">
        <x:v>6</x:v>
      </x:c>
      <x:c r="G2" s="30" t="s">
        <x:v>7</x:v>
      </x:c>
      <x:c r="H2" s="29" t="s">
        <x:v>8</x:v>
      </x:c>
      <x:c r="I2" s="30"/>
      <x:c r="J2" s="30"/>
      <x:c r="K2" s="30"/>
      <x:c r="L2" s="30"/>
      <x:c r="M2" s="30"/>
      <x:c r="N2" s="29" t="s">
        <x:v>9</x:v>
      </x:c>
      <x:c r="O2" s="30"/>
      <x:c r="P2" s="30"/>
      <x:c r="Q2" s="30"/>
      <x:c r="R2" s="30"/>
      <x:c r="S2" s="30"/>
      <x:c r="T2" s="30"/>
      <x:c r="U2" s="29" t="s">
        <x:v>10</x:v>
      </x:c>
      <x:c r="V2" s="30"/>
      <x:c r="W2" s="30"/>
      <x:c r="X2" s="30"/>
      <x:c r="Y2" s="30"/>
      <x:c r="Z2" s="30"/>
      <x:c r="AA2" s="30"/>
      <x:c r="AB2" s="29" t="s">
        <x:v>11</x:v>
      </x:c>
      <x:c r="AC2" s="30"/>
      <x:c r="AD2" s="30"/>
      <x:c r="AE2" s="30"/>
      <x:c r="AF2" s="30"/>
      <x:c r="AG2" s="30"/>
      <x:c r="AH2" s="30" t="s">
        <x:v>12</x:v>
      </x:c>
      <x:c r="AI2" s="32" t="s">
        <x:v>13</x:v>
      </x:c>
      <x:c r="AJ2" s="30" t="s">
        <x:v>14</x:v>
      </x:c>
    </x:row>
    <x:row r="3" s="1" customFormat="1">
      <x:c r="A3" s="31"/>
      <x:c r="B3" s="31"/>
      <x:c r="C3" s="30"/>
      <x:c r="D3" s="30"/>
      <x:c r="E3" s="30"/>
      <x:c r="F3" s="32"/>
      <x:c r="G3" s="30"/>
      <x:c r="H3" s="3" t="s">
        <x:v>15</x:v>
      </x:c>
      <x:c r="I3" s="4" t="s">
        <x:v>16</x:v>
      </x:c>
      <x:c r="J3" s="3" t="s">
        <x:v>15</x:v>
      </x:c>
      <x:c r="K3" s="4" t="s">
        <x:v>17</x:v>
      </x:c>
      <x:c r="L3" s="3" t="s">
        <x:v>15</x:v>
      </x:c>
      <x:c r="M3" s="4" t="s">
        <x:v>18</x:v>
      </x:c>
      <x:c r="N3" s="3" t="s">
        <x:v>15</x:v>
      </x:c>
      <x:c r="O3" s="4" t="s">
        <x:v>16</x:v>
      </x:c>
      <x:c r="P3" s="3" t="s">
        <x:v>15</x:v>
      </x:c>
      <x:c r="Q3" s="4" t="s">
        <x:v>17</x:v>
      </x:c>
      <x:c r="R3" s="3" t="s">
        <x:v>15</x:v>
      </x:c>
      <x:c r="S3" s="30" t="s">
        <x:v>18</x:v>
      </x:c>
      <x:c r="T3" s="30"/>
      <x:c r="U3" s="3" t="s">
        <x:v>15</x:v>
      </x:c>
      <x:c r="V3" s="4" t="s">
        <x:v>16</x:v>
      </x:c>
      <x:c r="W3" s="3" t="s">
        <x:v>15</x:v>
      </x:c>
      <x:c r="X3" s="4" t="s">
        <x:v>17</x:v>
      </x:c>
      <x:c r="Y3" s="3" t="s">
        <x:v>15</x:v>
      </x:c>
      <x:c r="Z3" s="30" t="s">
        <x:v>18</x:v>
      </x:c>
      <x:c r="AA3" s="30"/>
      <x:c r="AB3" s="3" t="s">
        <x:v>15</x:v>
      </x:c>
      <x:c r="AC3" s="4" t="s">
        <x:v>16</x:v>
      </x:c>
      <x:c r="AD3" s="3" t="s">
        <x:v>15</x:v>
      </x:c>
      <x:c r="AE3" s="4" t="s">
        <x:v>17</x:v>
      </x:c>
      <x:c r="AF3" s="3" t="s">
        <x:v>15</x:v>
      </x:c>
      <x:c r="AG3" s="4" t="s">
        <x:v>18</x:v>
      </x:c>
      <x:c r="AH3" s="30"/>
      <x:c r="AI3" s="32"/>
      <x:c r="AJ3" s="30"/>
    </x:row>
    <x:row r="4" ht="29.25" customHeight="1">
      <x:c r="A4" s="10" t="s">
        <x:v>19</x:v>
      </x:c>
      <x:c r="B4" s="6"/>
      <x:c r="C4" s="6"/>
      <x:c r="D4" s="6"/>
      <x:c r="E4" s="7"/>
      <x:c r="F4" s="8"/>
      <x:c r="G4" s="9"/>
      <x:c r="H4" s="9"/>
      <x:c r="I4" s="10"/>
      <x:c r="J4" s="10" t="s">
        <x:v>20</x:v>
      </x:c>
      <x:c r="K4" s="10" t="s">
        <x:v>21</x:v>
      </x:c>
      <x:c r="L4" s="10" t="s">
        <x:v>22</x:v>
      </x:c>
      <x:c r="M4" s="10" t="s">
        <x:v>23</x:v>
      </x:c>
      <x:c r="N4" s="10" t="s">
        <x:v>24</x:v>
      </x:c>
      <x:c r="O4" s="10" t="s">
        <x:v>25</x:v>
      </x:c>
      <x:c r="P4" s="10" t="s">
        <x:v>26</x:v>
      </x:c>
      <x:c r="Q4" s="10" t="s">
        <x:v>27</x:v>
      </x:c>
      <x:c r="R4" s="10" t="s">
        <x:v>28</x:v>
      </x:c>
      <x:c r="S4" s="33" t="s">
        <x:v>29</x:v>
      </x:c>
      <x:c r="T4" s="33"/>
      <x:c r="U4" s="10" t="s">
        <x:v>30</x:v>
      </x:c>
      <x:c r="V4" s="10" t="s">
        <x:v>31</x:v>
      </x:c>
      <x:c r="W4" s="10" t="s">
        <x:v>32</x:v>
      </x:c>
      <x:c r="X4" s="10" t="s">
        <x:v>33</x:v>
      </x:c>
      <x:c r="Y4" s="10" t="s">
        <x:v>34</x:v>
      </x:c>
      <x:c r="Z4" s="33" t="s">
        <x:v>35</x:v>
      </x:c>
      <x:c r="AA4" s="33"/>
      <x:c r="AB4" s="10"/>
      <x:c r="AC4" s="10"/>
      <x:c r="AD4" s="10"/>
      <x:c r="AE4" s="10"/>
      <x:c r="AF4" s="10"/>
      <x:c r="AG4" s="10"/>
      <x:c r="AH4" s="10" t="n">
        <x:f>SUM(K4,M4,O4,Q4,S4,V4,X4,Z4)</x:f>
        <x:v>0</x:v>
      </x:c>
      <x:c r="AI4" s="8"/>
      <x:c r="AJ4" s="9" t="str">
        <x:f t="shared" ref="AJ4" si="0">IFERROR((AH4+C4)/E4,"")</x:f>
      </x:c>
    </x:row>
    <x:row r="5" s="20" customFormat="1">
      <x:c r="A5" s="24" t="s">
        <x:v>36</x:v>
      </x:c>
      <x:c r="B5" s="21"/>
      <x:c r="C5" s="21"/>
      <x:c r="D5" s="21"/>
      <x:c r="E5" s="22"/>
      <x:c r="F5" s="22"/>
      <x:c r="G5" s="23" t="str">
        <x:f t="shared" ref="G5" si="1">IFERROR(C5/E5,"")</x:f>
      </x:c>
      <x:c r="H5" s="5"/>
      <x:c r="I5" s="5"/>
      <x:c r="J5" s="5"/>
      <x:c r="K5" s="5" t="n">
        <x:f>SUM(K4:K4)</x:f>
        <x:v>0</x:v>
      </x:c>
      <x:c r="L5" s="5"/>
      <x:c r="M5" s="5" t="n">
        <x:f>SUM(M4:M4)</x:f>
        <x:v>0</x:v>
      </x:c>
      <x:c r="N5" s="5"/>
      <x:c r="O5" s="5" t="n">
        <x:f>SUM(O4:O4)</x:f>
        <x:v>0</x:v>
      </x:c>
      <x:c r="P5" s="25"/>
      <x:c r="Q5" s="5" t="n">
        <x:f>SUM(Q4:Q4)</x:f>
        <x:v>0</x:v>
      </x:c>
      <x:c r="R5" s="5"/>
      <x:c r="S5" s="36" t="n">
        <x:f>SUM(S4:S4)</x:f>
        <x:v>0</x:v>
      </x:c>
      <x:c r="T5" s="36"/>
      <x:c r="U5" s="5"/>
      <x:c r="V5" s="5" t="n">
        <x:f>SUM(V4:V4)</x:f>
        <x:v>0</x:v>
      </x:c>
      <x:c r="W5" s="25"/>
      <x:c r="X5" s="5" t="n">
        <x:f>SUM(X4:X4)</x:f>
        <x:v>0</x:v>
      </x:c>
      <x:c r="Y5" s="5"/>
      <x:c r="Z5" s="36" t="n">
        <x:f>SUM(Z4:Z4)</x:f>
        <x:v>0</x:v>
      </x:c>
      <x:c r="AA5" s="36"/>
      <x:c r="AB5" s="5"/>
      <x:c r="AC5" s="5"/>
      <x:c r="AD5" s="25"/>
      <x:c r="AE5" s="5"/>
      <x:c r="AF5" s="5"/>
      <x:c r="AG5" s="5"/>
      <x:c r="AH5" s="5" t="n">
        <x:f>SUM(K5,M5,O5,Q5,S5,V5,X5,Z5)</x:f>
        <x:v>0</x:v>
      </x:c>
      <x:c r="AI5" s="5"/>
      <x:c r="AJ5" s="23"/>
    </x:row>
    <x:row r="7" ht="21.600000381469727" hidden="1" customHeight="1">
      <x:c r="A7" s="41" t="s">
        <x:v>37</x:v>
      </x:c>
      <x:c r="B7" s="41"/>
      <x:c r="C7" s="41"/>
      <x:c r="D7" s="41"/>
      <x:c r="E7" s="41"/>
      <x:c r="F7" s="41"/>
      <x:c r="G7" s="41"/>
      <x:c r="H7" s="42" t="s">
        <x:v>16</x:v>
      </x:c>
      <x:c r="I7" s="35" t="s">
        <x:v>38</x:v>
      </x:c>
      <x:c r="J7" s="35"/>
      <x:c r="K7" s="19">
        <x:v>1</x:v>
      </x:c>
      <x:c r="L7" s="19" t="s">
        <x:v>39</x:v>
      </x:c>
      <x:c r="M7" s="35"/>
      <x:c r="N7" s="37" t="s">
        <x:v>16</x:v>
      </x:c>
      <x:c r="O7" s="34" t="s">
        <x:v>38</x:v>
      </x:c>
      <x:c r="P7" s="34"/>
      <x:c r="Q7" s="13">
        <x:v>1</x:v>
      </x:c>
      <x:c r="R7" s="34">
        <x:v>5000</x:v>
      </x:c>
      <x:c r="S7" s="34"/>
      <x:c r="T7" s="38" t="s">
        <x:v>40</x:v>
      </x:c>
      <x:c r="U7" s="37" t="s">
        <x:v>16</x:v>
      </x:c>
      <x:c r="V7" s="34" t="s">
        <x:v>41</x:v>
      </x:c>
      <x:c r="W7" s="34"/>
      <x:c r="X7" s="13">
        <x:v>1</x:v>
      </x:c>
      <x:c r="Y7" s="34">
        <x:v>14000</x:v>
      </x:c>
      <x:c r="Z7" s="34"/>
      <x:c r="AA7" s="38" t="s">
        <x:v>42</x:v>
      </x:c>
      <x:c r="AB7" s="37" t="s">
        <x:v>16</x:v>
      </x:c>
      <x:c r="AC7" s="34" t="s">
        <x:v>41</x:v>
      </x:c>
      <x:c r="AD7" s="34"/>
      <x:c r="AE7" s="13">
        <x:v>1</x:v>
      </x:c>
      <x:c r="AF7" s="34"/>
      <x:c r="AG7" s="34"/>
      <x:c r="AH7" s="13"/>
      <x:c r="AI7" s="13"/>
      <x:c r="AJ7" s="12"/>
    </x:row>
    <x:row r="8" ht="21.600000381469727" hidden="1" customHeight="1">
      <x:c r="A8" s="32"/>
      <x:c r="B8" s="32"/>
      <x:c r="C8" s="32"/>
      <x:c r="D8" s="32"/>
      <x:c r="E8" s="32"/>
      <x:c r="F8" s="32"/>
      <x:c r="G8" s="32"/>
      <x:c r="H8" s="42"/>
      <x:c r="I8" s="35" t="s">
        <x:v>38</x:v>
      </x:c>
      <x:c r="J8" s="35"/>
      <x:c r="K8" s="19">
        <x:v>2</x:v>
      </x:c>
      <x:c r="L8" s="19" t="n">
        <x:f>IFERROR(SUM(I5:I11)*2,"")</x:f>
        <x:v>0</x:v>
      </x:c>
      <x:c r="M8" s="35"/>
      <x:c r="N8" s="37"/>
      <x:c r="O8" s="34" t="s">
        <x:v>38</x:v>
      </x:c>
      <x:c r="P8" s="34"/>
      <x:c r="Q8" s="13">
        <x:v>2</x:v>
      </x:c>
      <x:c r="R8" s="34">
        <x:v>7000</x:v>
      </x:c>
      <x:c r="S8" s="34"/>
      <x:c r="T8" s="39"/>
      <x:c r="U8" s="37"/>
      <x:c r="V8" s="34" t="s">
        <x:v>41</x:v>
      </x:c>
      <x:c r="W8" s="34"/>
      <x:c r="X8" s="13">
        <x:v>2</x:v>
      </x:c>
      <x:c r="Y8" s="34">
        <x:v>12000</x:v>
      </x:c>
      <x:c r="Z8" s="34"/>
      <x:c r="AA8" s="39"/>
      <x:c r="AB8" s="37"/>
      <x:c r="AC8" s="34" t="s">
        <x:v>41</x:v>
      </x:c>
      <x:c r="AD8" s="34"/>
      <x:c r="AE8" s="13">
        <x:v>2</x:v>
      </x:c>
      <x:c r="AF8" s="34"/>
      <x:c r="AG8" s="34"/>
      <x:c r="AH8" s="13"/>
      <x:c r="AI8" s="13"/>
      <x:c r="AJ8" s="12"/>
    </x:row>
    <x:row r="9" ht="21.600000381469727" hidden="1" customHeight="1">
      <x:c r="A9" s="32"/>
      <x:c r="B9" s="32"/>
      <x:c r="C9" s="32"/>
      <x:c r="D9" s="32"/>
      <x:c r="E9" s="32"/>
      <x:c r="F9" s="32"/>
      <x:c r="G9" s="32"/>
      <x:c r="H9" s="42"/>
      <x:c r="I9" s="35" t="s">
        <x:v>38</x:v>
      </x:c>
      <x:c r="J9" s="35"/>
      <x:c r="K9" s="19">
        <x:v>3</x:v>
      </x:c>
      <x:c r="L9" s="19" t="n">
        <x:f>IFERROR(SUM(I6:I12)*2,"")</x:f>
        <x:v>0</x:v>
      </x:c>
      <x:c r="M9" s="35"/>
      <x:c r="N9" s="37"/>
      <x:c r="O9" s="34" t="s">
        <x:v>41</x:v>
      </x:c>
      <x:c r="P9" s="34"/>
      <x:c r="Q9" s="13">
        <x:v>3</x:v>
      </x:c>
      <x:c r="R9" s="34">
        <x:v>13500</x:v>
      </x:c>
      <x:c r="S9" s="34"/>
      <x:c r="T9" s="39"/>
      <x:c r="U9" s="37"/>
      <x:c r="V9" s="34"/>
      <x:c r="W9" s="34"/>
      <x:c r="X9" s="13">
        <x:v>3</x:v>
      </x:c>
      <x:c r="Y9" s="34"/>
      <x:c r="Z9" s="34"/>
      <x:c r="AA9" s="39"/>
      <x:c r="AB9" s="37"/>
      <x:c r="AC9" s="34" t="s">
        <x:v>41</x:v>
      </x:c>
      <x:c r="AD9" s="34"/>
      <x:c r="AE9" s="13">
        <x:v>3</x:v>
      </x:c>
      <x:c r="AF9" s="34"/>
      <x:c r="AG9" s="34"/>
      <x:c r="AH9" s="13"/>
      <x:c r="AI9" s="13"/>
      <x:c r="AJ9" s="12"/>
    </x:row>
    <x:row r="10" ht="21.600000381469727" hidden="1" customHeight="1">
      <x:c r="A10" s="32"/>
      <x:c r="B10" s="32"/>
      <x:c r="C10" s="32"/>
      <x:c r="D10" s="32"/>
      <x:c r="E10" s="32"/>
      <x:c r="F10" s="32"/>
      <x:c r="G10" s="32"/>
      <x:c r="H10" s="42"/>
      <x:c r="I10" s="35" t="s">
        <x:v>43</x:v>
      </x:c>
      <x:c r="J10" s="35"/>
      <x:c r="K10" s="35"/>
      <x:c r="L10" s="35"/>
      <x:c r="M10" s="35"/>
      <x:c r="N10" s="37"/>
      <x:c r="O10" s="34" t="s">
        <x:v>43</x:v>
      </x:c>
      <x:c r="P10" s="34"/>
      <x:c r="Q10" s="34"/>
      <x:c r="R10" s="34"/>
      <x:c r="S10" s="34"/>
      <x:c r="T10" s="34"/>
      <x:c r="U10" s="37"/>
      <x:c r="V10" s="34" t="s">
        <x:v>43</x:v>
      </x:c>
      <x:c r="W10" s="34"/>
      <x:c r="X10" s="34"/>
      <x:c r="Y10" s="34"/>
      <x:c r="Z10" s="34"/>
      <x:c r="AA10" s="34"/>
      <x:c r="AB10" s="37"/>
      <x:c r="AC10" s="34" t="s">
        <x:v>43</x:v>
      </x:c>
      <x:c r="AD10" s="34"/>
      <x:c r="AE10" s="34"/>
      <x:c r="AF10" s="34"/>
      <x:c r="AG10" s="34"/>
      <x:c r="AH10" s="13"/>
      <x:c r="AI10" s="13"/>
      <x:c r="AJ10" s="13"/>
    </x:row>
    <x:row r="11" ht="21.600000381469727" hidden="1" customHeight="1">
      <x:c r="A11" s="32"/>
      <x:c r="B11" s="32"/>
      <x:c r="C11" s="32"/>
      <x:c r="D11" s="32"/>
      <x:c r="E11" s="32"/>
      <x:c r="F11" s="32"/>
      <x:c r="G11" s="32"/>
      <x:c r="H11" s="39" t="s">
        <x:v>17</x:v>
      </x:c>
      <x:c r="I11" s="39" t="s">
        <x:v>38</x:v>
      </x:c>
      <x:c r="J11" s="39"/>
      <x:c r="K11" s="14">
        <x:v>1</x:v>
      </x:c>
      <x:c r="L11" s="14">
        <x:v>23000</x:v>
      </x:c>
      <x:c r="M11" s="38" t="s">
        <x:v>44</x:v>
      </x:c>
      <x:c r="N11" s="39" t="s">
        <x:v>17</x:v>
      </x:c>
      <x:c r="O11" s="39" t="s">
        <x:v>41</x:v>
      </x:c>
      <x:c r="P11" s="39"/>
      <x:c r="Q11" s="14">
        <x:v>1</x:v>
      </x:c>
      <x:c r="R11" s="39">
        <x:v>12000</x:v>
      </x:c>
      <x:c r="S11" s="39"/>
      <x:c r="T11" s="38" t="s">
        <x:v>45</x:v>
      </x:c>
      <x:c r="U11" s="39" t="s">
        <x:v>17</x:v>
      </x:c>
      <x:c r="V11" s="39" t="s">
        <x:v>41</x:v>
      </x:c>
      <x:c r="W11" s="39"/>
      <x:c r="X11" s="14">
        <x:v>1</x:v>
      </x:c>
      <x:c r="Y11" s="39">
        <x:v>5000</x:v>
      </x:c>
      <x:c r="Z11" s="39"/>
      <x:c r="AA11" s="38" t="s">
        <x:v>46</x:v>
      </x:c>
      <x:c r="AB11" s="39" t="s">
        <x:v>17</x:v>
      </x:c>
      <x:c r="AC11" s="39" t="s">
        <x:v>41</x:v>
      </x:c>
      <x:c r="AD11" s="39"/>
      <x:c r="AE11" s="14">
        <x:v>1</x:v>
      </x:c>
      <x:c r="AF11" s="39"/>
      <x:c r="AG11" s="39"/>
      <x:c r="AH11" s="14"/>
      <x:c r="AI11" s="14"/>
      <x:c r="AJ11" s="14"/>
    </x:row>
    <x:row r="12" ht="21.600000381469727" hidden="1" customHeight="1">
      <x:c r="A12" s="32"/>
      <x:c r="B12" s="32"/>
      <x:c r="C12" s="32"/>
      <x:c r="D12" s="32"/>
      <x:c r="E12" s="32"/>
      <x:c r="F12" s="32"/>
      <x:c r="G12" s="32"/>
      <x:c r="H12" s="39"/>
      <x:c r="I12" s="39"/>
      <x:c r="J12" s="39"/>
      <x:c r="K12" s="14">
        <x:v>2</x:v>
      </x:c>
      <x:c r="L12" s="14"/>
      <x:c r="M12" s="39"/>
      <x:c r="N12" s="39"/>
      <x:c r="O12" s="39" t="s">
        <x:v>41</x:v>
      </x:c>
      <x:c r="P12" s="39"/>
      <x:c r="Q12" s="14">
        <x:v>2</x:v>
      </x:c>
      <x:c r="R12" s="39">
        <x:v>8000</x:v>
      </x:c>
      <x:c r="S12" s="39"/>
      <x:c r="T12" s="39"/>
      <x:c r="U12" s="39"/>
      <x:c r="V12" s="39" t="s">
        <x:v>41</x:v>
      </x:c>
      <x:c r="W12" s="39"/>
      <x:c r="X12" s="14">
        <x:v>2</x:v>
      </x:c>
      <x:c r="Y12" s="39">
        <x:v>14000</x:v>
      </x:c>
      <x:c r="Z12" s="39"/>
      <x:c r="AA12" s="39"/>
      <x:c r="AB12" s="39"/>
      <x:c r="AC12" s="39" t="s">
        <x:v>41</x:v>
      </x:c>
      <x:c r="AD12" s="39"/>
      <x:c r="AE12" s="14">
        <x:v>2</x:v>
      </x:c>
      <x:c r="AF12" s="39"/>
      <x:c r="AG12" s="39"/>
      <x:c r="AH12" s="14"/>
      <x:c r="AI12" s="14"/>
      <x:c r="AJ12" s="14"/>
    </x:row>
    <x:row r="13" ht="21.600000381469727" hidden="1" customHeight="1">
      <x:c r="A13" s="32"/>
      <x:c r="B13" s="32"/>
      <x:c r="C13" s="32"/>
      <x:c r="D13" s="32"/>
      <x:c r="E13" s="32"/>
      <x:c r="F13" s="32"/>
      <x:c r="G13" s="32"/>
      <x:c r="H13" s="39"/>
      <x:c r="I13" s="39"/>
      <x:c r="J13" s="39"/>
      <x:c r="K13" s="14">
        <x:v>3</x:v>
      </x:c>
      <x:c r="L13" s="14"/>
      <x:c r="M13" s="39"/>
      <x:c r="N13" s="39"/>
      <x:c r="O13" s="39"/>
      <x:c r="P13" s="39"/>
      <x:c r="Q13" s="14">
        <x:v>3</x:v>
      </x:c>
      <x:c r="R13" s="39"/>
      <x:c r="S13" s="39"/>
      <x:c r="T13" s="39"/>
      <x:c r="U13" s="39"/>
      <x:c r="V13" s="39" t="s">
        <x:v>38</x:v>
      </x:c>
      <x:c r="W13" s="39"/>
      <x:c r="X13" s="14">
        <x:v>3</x:v>
      </x:c>
      <x:c r="Y13" s="39">
        <x:v>5000</x:v>
      </x:c>
      <x:c r="Z13" s="39"/>
      <x:c r="AA13" s="39"/>
      <x:c r="AB13" s="39"/>
      <x:c r="AC13" s="39" t="s">
        <x:v>41</x:v>
      </x:c>
      <x:c r="AD13" s="39"/>
      <x:c r="AE13" s="14">
        <x:v>3</x:v>
      </x:c>
      <x:c r="AF13" s="39"/>
      <x:c r="AG13" s="39"/>
      <x:c r="AH13" s="14"/>
      <x:c r="AI13" s="14"/>
      <x:c r="AJ13" s="14"/>
    </x:row>
    <x:row r="14" s="1" customFormat="1" ht="21.600000381469727" hidden="1" customHeight="1">
      <x:c r="A14" s="32"/>
      <x:c r="B14" s="32"/>
      <x:c r="C14" s="32"/>
      <x:c r="D14" s="32"/>
      <x:c r="E14" s="32"/>
      <x:c r="F14" s="32"/>
      <x:c r="G14" s="32"/>
      <x:c r="H14" s="39"/>
      <x:c r="I14" s="39" t="s">
        <x:v>43</x:v>
      </x:c>
      <x:c r="J14" s="39"/>
      <x:c r="K14" s="39"/>
      <x:c r="L14" s="39" t="s">
        <x:v>47</x:v>
      </x:c>
      <x:c r="M14" s="39"/>
      <x:c r="N14" s="39"/>
      <x:c r="O14" s="39" t="s">
        <x:v>43</x:v>
      </x:c>
      <x:c r="P14" s="39"/>
      <x:c r="Q14" s="39"/>
      <x:c r="R14" s="39" t="s">
        <x:v>47</x:v>
      </x:c>
      <x:c r="S14" s="39"/>
      <x:c r="T14" s="39"/>
      <x:c r="U14" s="39"/>
      <x:c r="V14" s="39" t="s">
        <x:v>43</x:v>
      </x:c>
      <x:c r="W14" s="39"/>
      <x:c r="X14" s="39"/>
      <x:c r="Y14" s="39" t="s">
        <x:v>47</x:v>
      </x:c>
      <x:c r="Z14" s="39"/>
      <x:c r="AA14" s="39"/>
      <x:c r="AB14" s="39"/>
      <x:c r="AC14" s="39" t="s">
        <x:v>43</x:v>
      </x:c>
      <x:c r="AD14" s="39"/>
      <x:c r="AE14" s="39"/>
      <x:c r="AF14" s="39" t="s">
        <x:v>47</x:v>
      </x:c>
      <x:c r="AG14" s="39"/>
      <x:c r="AH14" s="14"/>
      <x:c r="AI14" s="14"/>
      <x:c r="AJ14" s="15"/>
    </x:row>
    <x:row r="15" s="1" customFormat="1" ht="21.600000381469727" hidden="1" customHeight="1">
      <x:c r="A15" s="32"/>
      <x:c r="B15" s="32"/>
      <x:c r="C15" s="32"/>
      <x:c r="D15" s="32"/>
      <x:c r="E15" s="32"/>
      <x:c r="F15" s="32"/>
      <x:c r="G15" s="32"/>
      <x:c r="H15" s="32" t="s">
        <x:v>18</x:v>
      </x:c>
      <x:c r="I15" s="40" t="s">
        <x:v>41</x:v>
      </x:c>
      <x:c r="J15" s="40"/>
      <x:c r="K15" s="11">
        <x:v>1</x:v>
      </x:c>
      <x:c r="L15" s="11">
        <x:v>14000</x:v>
      </x:c>
      <x:c r="M15" s="38" t="s">
        <x:v>48</x:v>
      </x:c>
      <x:c r="N15" s="32" t="s">
        <x:v>18</x:v>
      </x:c>
      <x:c r="O15" s="40" t="s">
        <x:v>41</x:v>
      </x:c>
      <x:c r="P15" s="40"/>
      <x:c r="Q15" s="11">
        <x:v>1</x:v>
      </x:c>
      <x:c r="R15" s="40">
        <x:v>9000</x:v>
      </x:c>
      <x:c r="S15" s="40"/>
      <x:c r="T15" s="38" t="s">
        <x:v>49</x:v>
      </x:c>
      <x:c r="U15" s="32" t="s">
        <x:v>18</x:v>
      </x:c>
      <x:c r="V15" s="40" t="s">
        <x:v>38</x:v>
      </x:c>
      <x:c r="W15" s="40"/>
      <x:c r="X15" s="11">
        <x:v>1</x:v>
      </x:c>
      <x:c r="Y15" s="40">
        <x:v>18000</x:v>
      </x:c>
      <x:c r="Z15" s="40"/>
      <x:c r="AA15" s="38" t="s">
        <x:v>50</x:v>
      </x:c>
      <x:c r="AB15" s="32" t="s">
        <x:v>18</x:v>
      </x:c>
      <x:c r="AC15" s="40" t="s">
        <x:v>41</x:v>
      </x:c>
      <x:c r="AD15" s="40"/>
      <x:c r="AE15" s="11">
        <x:v>1</x:v>
      </x:c>
      <x:c r="AF15" s="40" t="s">
        <x:v>51</x:v>
      </x:c>
      <x:c r="AG15" s="40"/>
      <x:c r="AH15" s="11"/>
      <x:c r="AI15" s="11"/>
      <x:c r="AJ15" s="16"/>
    </x:row>
    <x:row r="16" s="1" customFormat="1" ht="21.600000381469727" hidden="1" customHeight="1">
      <x:c r="A16" s="32"/>
      <x:c r="B16" s="32"/>
      <x:c r="C16" s="32"/>
      <x:c r="D16" s="32"/>
      <x:c r="E16" s="32"/>
      <x:c r="F16" s="32"/>
      <x:c r="G16" s="32"/>
      <x:c r="H16" s="32"/>
      <x:c r="I16" s="40" t="s">
        <x:v>38</x:v>
      </x:c>
      <x:c r="J16" s="40"/>
      <x:c r="K16" s="11">
        <x:v>2</x:v>
      </x:c>
      <x:c r="L16" s="11">
        <x:v>12000</x:v>
      </x:c>
      <x:c r="M16" s="39"/>
      <x:c r="N16" s="32"/>
      <x:c r="O16" s="40" t="s">
        <x:v>38</x:v>
      </x:c>
      <x:c r="P16" s="40"/>
      <x:c r="Q16" s="11">
        <x:v>2</x:v>
      </x:c>
      <x:c r="R16" s="40">
        <x:v>20000</x:v>
      </x:c>
      <x:c r="S16" s="40"/>
      <x:c r="T16" s="39"/>
      <x:c r="U16" s="32"/>
      <x:c r="V16" s="40" t="s">
        <x:v>41</x:v>
      </x:c>
      <x:c r="W16" s="40"/>
      <x:c r="X16" s="11">
        <x:v>2</x:v>
      </x:c>
      <x:c r="Y16" s="40">
        <x:v>6000</x:v>
      </x:c>
      <x:c r="Z16" s="40"/>
      <x:c r="AA16" s="39"/>
      <x:c r="AB16" s="32"/>
      <x:c r="AC16" s="40" t="s">
        <x:v>41</x:v>
      </x:c>
      <x:c r="AD16" s="40"/>
      <x:c r="AE16" s="11">
        <x:v>2</x:v>
      </x:c>
      <x:c r="AF16" s="40"/>
      <x:c r="AG16" s="40"/>
      <x:c r="AH16" s="11"/>
      <x:c r="AI16" s="11"/>
      <x:c r="AJ16" s="16"/>
    </x:row>
    <x:row r="17" ht="21.600000381469727" hidden="1" customHeight="1">
      <x:c r="A17" s="32"/>
      <x:c r="B17" s="32"/>
      <x:c r="C17" s="32"/>
      <x:c r="D17" s="32"/>
      <x:c r="E17" s="32"/>
      <x:c r="F17" s="32"/>
      <x:c r="G17" s="32"/>
      <x:c r="H17" s="32"/>
      <x:c r="I17" s="40"/>
      <x:c r="J17" s="40"/>
      <x:c r="K17" s="11">
        <x:v>3</x:v>
      </x:c>
      <x:c r="L17" s="11"/>
      <x:c r="M17" s="39"/>
      <x:c r="N17" s="32"/>
      <x:c r="O17" s="40"/>
      <x:c r="P17" s="40"/>
      <x:c r="Q17" s="11">
        <x:v>3</x:v>
      </x:c>
      <x:c r="R17" s="40"/>
      <x:c r="S17" s="40"/>
      <x:c r="T17" s="39"/>
      <x:c r="U17" s="32"/>
      <x:c r="V17" s="40"/>
      <x:c r="W17" s="40"/>
      <x:c r="X17" s="11">
        <x:v>3</x:v>
      </x:c>
      <x:c r="Y17" s="40"/>
      <x:c r="Z17" s="40"/>
      <x:c r="AA17" s="39"/>
      <x:c r="AB17" s="32"/>
      <x:c r="AC17" s="40" t="s">
        <x:v>41</x:v>
      </x:c>
      <x:c r="AD17" s="40"/>
      <x:c r="AE17" s="11">
        <x:v>3</x:v>
      </x:c>
      <x:c r="AF17" s="40"/>
      <x:c r="AG17" s="40"/>
      <x:c r="AH17" s="11"/>
      <x:c r="AI17" s="11"/>
      <x:c r="AJ17" s="11"/>
    </x:row>
    <x:row r="18" ht="21.600000381469727" hidden="1" customHeight="1">
      <x:c r="A18" s="32"/>
      <x:c r="B18" s="32"/>
      <x:c r="C18" s="32"/>
      <x:c r="D18" s="32"/>
      <x:c r="E18" s="32"/>
      <x:c r="F18" s="32"/>
      <x:c r="G18" s="32"/>
      <x:c r="H18" s="32"/>
      <x:c r="I18" s="40" t="s">
        <x:v>43</x:v>
      </x:c>
      <x:c r="J18" s="40"/>
      <x:c r="K18" s="40"/>
      <x:c r="L18" s="40" t="s">
        <x:v>52</x:v>
      </x:c>
      <x:c r="M18" s="40"/>
      <x:c r="N18" s="32"/>
      <x:c r="O18" s="40" t="s">
        <x:v>43</x:v>
      </x:c>
      <x:c r="P18" s="40"/>
      <x:c r="Q18" s="40"/>
      <x:c r="R18" s="40" t="s">
        <x:v>52</x:v>
      </x:c>
      <x:c r="S18" s="40"/>
      <x:c r="T18" s="40"/>
      <x:c r="U18" s="32"/>
      <x:c r="V18" s="40" t="s">
        <x:v>43</x:v>
      </x:c>
      <x:c r="W18" s="40"/>
      <x:c r="X18" s="40"/>
      <x:c r="Y18" s="40" t="s">
        <x:v>52</x:v>
      </x:c>
      <x:c r="Z18" s="40"/>
      <x:c r="AA18" s="40"/>
      <x:c r="AB18" s="32"/>
      <x:c r="AC18" s="40" t="s">
        <x:v>43</x:v>
      </x:c>
      <x:c r="AD18" s="40"/>
      <x:c r="AE18" s="40"/>
      <x:c r="AF18" s="40" t="s">
        <x:v>53</x:v>
      </x:c>
      <x:c r="AG18" s="40"/>
      <x:c r="AH18" s="11"/>
      <x:c r="AI18" s="11"/>
      <x:c r="AJ18" s="11"/>
    </x:row>
    <x:row r="20">
      <x:c r="C20" s="17"/>
      <x:c r="N20" s="18"/>
      <x:c r="T20" s="18"/>
    </x:row>
    <x:row r="21">
      <x:c r="E21" s="17"/>
      <x:c r="F21" s="17"/>
    </x:row>
  </x:sheetData>
  <x:mergeCells>
    <x:mergeCell ref="V15:W15"/>
    <x:mergeCell ref="Y15:Z15"/>
    <x:mergeCell ref="AC15:AD15"/>
    <x:mergeCell ref="A7:G18"/>
    <x:mergeCell ref="H7:H10"/>
    <x:mergeCell ref="H11:H14"/>
    <x:mergeCell ref="H15:H18"/>
    <x:mergeCell ref="M7:M9"/>
    <x:mergeCell ref="M11:M13"/>
    <x:mergeCell ref="M15:M17"/>
    <x:mergeCell ref="N7:N10"/>
    <x:mergeCell ref="N11:N14"/>
    <x:mergeCell ref="N15:N18"/>
    <x:mergeCell ref="I17:J17"/>
    <x:mergeCell ref="AF17:AG17"/>
    <x:mergeCell ref="I18:K18"/>
    <x:mergeCell ref="L18:M18"/>
    <x:mergeCell ref="O18:Q18"/>
    <x:mergeCell ref="R18:T18"/>
    <x:mergeCell ref="V18:X18"/>
    <x:mergeCell ref="Y18:AA18"/>
    <x:mergeCell ref="AC18:AE18"/>
    <x:mergeCell ref="AF18:AG18"/>
    <x:mergeCell ref="T15:T17"/>
    <x:mergeCell ref="U15:U18"/>
    <x:mergeCell ref="AA15:AA17"/>
    <x:mergeCell ref="AB15:AB18"/>
    <x:mergeCell ref="I15:J15"/>
    <x:mergeCell ref="O15:P15"/>
    <x:mergeCell ref="R15:S15"/>
    <x:mergeCell ref="O17:P17"/>
    <x:mergeCell ref="R17:S17"/>
    <x:mergeCell ref="V17:W17"/>
    <x:mergeCell ref="Y17:Z17"/>
    <x:mergeCell ref="AC17:AD17"/>
    <x:mergeCell ref="AC13:AD13"/>
    <x:mergeCell ref="AF13:AG13"/>
    <x:mergeCell ref="I14:K14"/>
    <x:mergeCell ref="L14:M14"/>
    <x:mergeCell ref="O14:Q14"/>
    <x:mergeCell ref="R14:T14"/>
    <x:mergeCell ref="V14:X14"/>
    <x:mergeCell ref="Y14:AA14"/>
    <x:mergeCell ref="AC14:AE14"/>
    <x:mergeCell ref="AF14:AG14"/>
    <x:mergeCell ref="T11:T13"/>
    <x:mergeCell ref="AC12:AD12"/>
    <x:mergeCell ref="AF12:AG12"/>
    <x:mergeCell ref="I9:J9"/>
    <x:mergeCell ref="AF15:AG15"/>
    <x:mergeCell ref="I16:J16"/>
    <x:mergeCell ref="O16:P16"/>
    <x:mergeCell ref="R16:S16"/>
    <x:mergeCell ref="V16:W16"/>
    <x:mergeCell ref="Y16:Z16"/>
    <x:mergeCell ref="AC16:AD16"/>
    <x:mergeCell ref="AF16:AG16"/>
    <x:mergeCell ref="I13:J13"/>
    <x:mergeCell ref="O13:P13"/>
    <x:mergeCell ref="R13:S13"/>
    <x:mergeCell ref="V13:W13"/>
    <x:mergeCell ref="Y13:Z13"/>
    <x:mergeCell ref="AC11:AD11"/>
    <x:mergeCell ref="V7:W7"/>
    <x:mergeCell ref="Y7:Z7"/>
    <x:mergeCell ref="AC7:AD7"/>
    <x:mergeCell ref="AF11:AG11"/>
    <x:mergeCell ref="U11:U14"/>
    <x:mergeCell ref="AA11:AA13"/>
    <x:mergeCell ref="AB11:AB14"/>
    <x:mergeCell ref="I11:J11"/>
    <x:mergeCell ref="O11:P11"/>
    <x:mergeCell ref="R11:S11"/>
    <x:mergeCell ref="V11:W11"/>
    <x:mergeCell ref="Y11:Z11"/>
    <x:mergeCell ref="I12:J12"/>
    <x:mergeCell ref="O12:P12"/>
    <x:mergeCell ref="R12:S12"/>
    <x:mergeCell ref="V12:W12"/>
    <x:mergeCell ref="Y12:Z12"/>
    <x:mergeCell ref="AC9:AD9"/>
    <x:mergeCell ref="AF9:AG9"/>
    <x:mergeCell ref="I10:K10"/>
    <x:mergeCell ref="L10:M10"/>
    <x:mergeCell ref="O10:Q10"/>
    <x:mergeCell ref="R10:T10"/>
    <x:mergeCell ref="V10:X10"/>
    <x:mergeCell ref="Y10:AA10"/>
    <x:mergeCell ref="AC10:AE10"/>
    <x:mergeCell ref="AF10:AG10"/>
    <x:mergeCell ref="T7:T9"/>
    <x:mergeCell ref="AB7:AB10"/>
    <x:mergeCell ref="I7:J7"/>
    <x:mergeCell ref="O7:P7"/>
    <x:mergeCell ref="R7:S7"/>
    <x:mergeCell ref="O9:P9"/>
    <x:mergeCell ref="R9:S9"/>
    <x:mergeCell ref="V9:W9"/>
    <x:mergeCell ref="Y9:Z9"/>
    <x:mergeCell ref="S5:T5"/>
    <x:mergeCell ref="Z5:AA5"/>
    <x:mergeCell ref="U7:U10"/>
    <x:mergeCell ref="AA7:AA9"/>
    <x:mergeCell ref="AF7:AG7"/>
    <x:mergeCell ref="I8:J8"/>
    <x:mergeCell ref="O8:P8"/>
    <x:mergeCell ref="R8:S8"/>
    <x:mergeCell ref="V8:W8"/>
    <x:mergeCell ref="Y8:Z8"/>
    <x:mergeCell ref="AC8:AD8"/>
    <x:mergeCell ref="AF8:AG8"/>
    <x:mergeCell ref="S4:T4"/>
    <x:mergeCell ref="Z4:AA4"/>
    <x:mergeCell ref="S3:T3"/>
    <x:mergeCell ref="Z3:AA3"/>
    <x:mergeCell ref="A2:A3"/>
    <x:mergeCell ref="B2:B3"/>
    <x:mergeCell ref="C2:C3"/>
    <x:mergeCell ref="D2:D3"/>
    <x:mergeCell ref="E2:E3"/>
    <x:mergeCell ref="F2:F3"/>
    <x:mergeCell ref="G2:G3"/>
    <x:mergeCell ref="A1:G1"/>
    <x:mergeCell ref="H1:AJ1"/>
    <x:mergeCell ref="H2:M2"/>
    <x:mergeCell ref="N2:T2"/>
    <x:mergeCell ref="U2:AA2"/>
    <x:mergeCell ref="AB2:AG2"/>
    <x:mergeCell ref="AH2:AH3"/>
    <x:mergeCell ref="AI2:AI3"/>
    <x:mergeCell ref="AJ2:AJ3"/>
  </x:mergeCells>
  <x:dataValidations count="1">
    <x:dataValidation type="list" allowBlank="1" showInputMessage="1" showErrorMessage="1" sqref="I7:J9 O7:P9 AC7:AD9 I11:J13 O11:P13 AC11:AD13 I15:J17 O15:P17 AC15:AD17 V7:W9 V11:W13 V15:W17">
      <x:formula1>"AQC481,AQC453"</x:formula1>
    </x:dataValidation>
  </x:dataValidations>
  <x:pageMargins left="0.7" right="0.7" top="0.75" bottom="0.75" header="0.3" footer="0.3"/>
</x:worksheet>
</file>