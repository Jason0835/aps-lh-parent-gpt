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35" tabRatio="600" firstSheet="0" activeTab="0" autoFilterDateGrouping="1"/>
  </bookViews>
  <sheets>
    <sheet xmlns:r="http://schemas.openxmlformats.org/officeDocument/2006/relationships" name="压延计划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等线"/>
      <color theme="1"/>
      <sz val="11"/>
    </font>
    <font>
      <name val="等线"/>
      <charset val="134"/>
      <b val="1"/>
      <color theme="1"/>
      <sz val="11"/>
    </font>
    <font>
      <name val="等线"/>
      <charset val="134"/>
      <b val="1"/>
      <color theme="1"/>
      <sz val="9"/>
    </font>
    <font>
      <name val="等线"/>
      <charset val="134"/>
      <color theme="1"/>
      <sz val="9"/>
    </font>
    <font>
      <name val="等线"/>
      <charset val="134"/>
      <color rgb="FFFF0000"/>
      <sz val="9"/>
    </font>
    <font>
      <name val="宋体"/>
      <charset val="134"/>
      <family val="3"/>
      <sz val="9"/>
    </font>
  </fonts>
  <fills count="8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9" tint="0.7998901333658864"/>
        <bgColor indexed="65"/>
      </patternFill>
    </fill>
    <fill>
      <patternFill patternType="solid">
        <fgColor rgb="FFFFFF00"/>
      </patternFill>
    </fill>
    <fill>
      <patternFill patternType="solid">
        <fgColor rgb="FFF8BEE2"/>
      </patternFill>
    </fill>
    <fill>
      <patternFill patternType="solid">
        <fgColor theme="6" tint="0.5999328592791529"/>
        <bgColor indexed="65"/>
      </patternFill>
    </fill>
    <fill>
      <patternFill patternType="solid">
        <fgColor theme="7" tint="0.7998901333658864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" fontId="2" fillId="2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58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0" fillId="0" borderId="2" pivotButton="0" quotePrefix="0" xfId="0"/>
    <xf numFmtId="164" fontId="3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9"/>
  <sheetViews>
    <sheetView tabSelected="1" topLeftCell="A2" workbookViewId="0">
      <selection activeCell="E27" sqref="E27"/>
    </sheetView>
  </sheetViews>
  <sheetFormatPr baseColWidth="8" defaultColWidth="8.875" defaultRowHeight="12"/>
  <cols>
    <col width="10.5" customWidth="1" style="2" min="1" max="1"/>
    <col width="9.75" customWidth="1" style="2" min="2" max="5"/>
    <col width="9.375" customWidth="1" style="2" min="6" max="6"/>
    <col width="9.75" customWidth="1" style="2" min="7" max="7"/>
    <col width="4.875" customWidth="1" style="2" min="8" max="31"/>
    <col width="10.875" customWidth="1" style="2" min="32" max="34"/>
    <col width="8.875" customWidth="1" style="2" min="35" max="16384"/>
  </cols>
  <sheetData>
    <row r="1" hidden="1" ht="9.75" customHeight="1">
      <c r="A1" t="inlineStr">
        <is>
          <t>bigRollCode</t>
        </is>
      </c>
      <c r="J1" t="inlineStr">
        <is>
          <t>class1ProduceOrder</t>
        </is>
      </c>
      <c r="K1" t="inlineStr">
        <is>
          <t>class1PlanQty</t>
        </is>
      </c>
      <c r="L1" t="inlineStr">
        <is>
          <t>class2ProduceOrder</t>
        </is>
      </c>
      <c r="M1" t="inlineStr">
        <is>
          <t>class2PlanQty</t>
        </is>
      </c>
      <c r="N1" t="inlineStr">
        <is>
          <t>class3ProduceOrder</t>
        </is>
      </c>
      <c r="O1" t="inlineStr">
        <is>
          <t>class3PlanQty</t>
        </is>
      </c>
      <c r="P1" t="inlineStr">
        <is>
          <t>class4ProduceOrder</t>
        </is>
      </c>
      <c r="Q1" t="inlineStr">
        <is>
          <t>class4PlanQty</t>
        </is>
      </c>
      <c r="R1" t="inlineStr">
        <is>
          <t>class5ProduceOrder</t>
        </is>
      </c>
      <c r="S1" t="inlineStr">
        <is>
          <t>class5PlanQty</t>
        </is>
      </c>
      <c r="T1" t="inlineStr">
        <is>
          <t>class6ProduceOrder</t>
        </is>
      </c>
      <c r="U1" t="inlineStr">
        <is>
          <t>class6PlanQty</t>
        </is>
      </c>
      <c r="V1" t="inlineStr">
        <is>
          <t>class7ProduceOrder</t>
        </is>
      </c>
      <c r="W1" t="inlineStr">
        <is>
          <t>class7PlanQty</t>
        </is>
      </c>
      <c r="X1" t="inlineStr">
        <is>
          <t>class8ProduceOrder</t>
        </is>
      </c>
      <c r="Y1" t="inlineStr">
        <is>
          <t>class8PlanQty</t>
        </is>
      </c>
    </row>
    <row r="2" ht="24" customFormat="1" customHeight="1" s="27">
      <c r="A2" s="31" t="n"/>
      <c r="B2" s="44" t="n"/>
      <c r="C2" s="44" t="n"/>
      <c r="D2" s="44" t="n"/>
      <c r="E2" s="44" t="n"/>
      <c r="F2" s="44" t="n"/>
      <c r="G2" s="45" t="n"/>
      <c r="H2" s="31" t="inlineStr">
        <is>
          <t>全钢压延生产计划单</t>
        </is>
      </c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5" t="n"/>
      <c r="AI2" s="26" t="n"/>
    </row>
    <row r="3" customFormat="1" s="1">
      <c r="A3" s="35" t="inlineStr">
        <is>
          <t>规格</t>
        </is>
      </c>
      <c r="B3" s="35" t="inlineStr">
        <is>
          <t>帘布总需求量m</t>
        </is>
      </c>
      <c r="C3" s="33" t="inlineStr">
        <is>
          <t>压延库存m</t>
        </is>
      </c>
      <c r="D3" s="33" t="inlineStr">
        <is>
          <t>裁断库存/m</t>
        </is>
      </c>
      <c r="E3" s="33" t="inlineStr">
        <is>
          <t>裁断日需求量m</t>
        </is>
      </c>
      <c r="F3" s="34" t="inlineStr">
        <is>
          <t>库存班次</t>
        </is>
      </c>
      <c r="G3" s="33" t="inlineStr">
        <is>
          <t>库存天数</t>
        </is>
      </c>
      <c r="H3" s="32" t="inlineStr">
        <is>
          <t>{previousDate}</t>
        </is>
      </c>
      <c r="I3" s="44" t="n"/>
      <c r="J3" s="44" t="n"/>
      <c r="K3" s="44" t="n"/>
      <c r="L3" s="44" t="n"/>
      <c r="M3" s="45" t="n"/>
      <c r="N3" s="32" t="inlineStr">
        <is>
          <t>{scheduleDate}</t>
        </is>
      </c>
      <c r="O3" s="44" t="n"/>
      <c r="P3" s="44" t="n"/>
      <c r="Q3" s="44" t="n"/>
      <c r="R3" s="44" t="n"/>
      <c r="S3" s="45" t="n"/>
      <c r="T3" s="32" t="inlineStr">
        <is>
          <t>{nextDate}</t>
        </is>
      </c>
      <c r="U3" s="44" t="n"/>
      <c r="V3" s="44" t="n"/>
      <c r="W3" s="44" t="n"/>
      <c r="X3" s="44" t="n"/>
      <c r="Y3" s="45" t="n"/>
      <c r="Z3" s="32" t="inlineStr">
        <is>
          <t>{nextTwoDate}</t>
        </is>
      </c>
      <c r="AA3" s="44" t="n"/>
      <c r="AB3" s="44" t="n"/>
      <c r="AC3" s="44" t="n"/>
      <c r="AD3" s="44" t="n"/>
      <c r="AE3" s="45" t="n"/>
      <c r="AF3" s="33" t="inlineStr">
        <is>
          <t>合计生产量/m</t>
        </is>
      </c>
      <c r="AG3" s="34" t="inlineStr">
        <is>
          <t>班次</t>
        </is>
      </c>
      <c r="AH3" s="33" t="inlineStr">
        <is>
          <t>生产后库存天数</t>
        </is>
      </c>
    </row>
    <row r="4" customFormat="1" s="1">
      <c r="A4" s="46" t="n"/>
      <c r="B4" s="46" t="n"/>
      <c r="C4" s="46" t="n"/>
      <c r="D4" s="46" t="n"/>
      <c r="E4" s="46" t="n"/>
      <c r="F4" s="46" t="n"/>
      <c r="G4" s="46" t="n"/>
      <c r="H4" s="3" t="inlineStr">
        <is>
          <t>顺位</t>
        </is>
      </c>
      <c r="I4" s="33" t="inlineStr">
        <is>
          <t>Đêm</t>
        </is>
      </c>
      <c r="J4" s="3" t="inlineStr">
        <is>
          <t>顺位</t>
        </is>
      </c>
      <c r="K4" s="33" t="inlineStr">
        <is>
          <t xml:space="preserve"> Sáng</t>
        </is>
      </c>
      <c r="L4" s="3" t="inlineStr">
        <is>
          <t>顺位</t>
        </is>
      </c>
      <c r="M4" s="33" t="inlineStr">
        <is>
          <t>Chiều</t>
        </is>
      </c>
      <c r="N4" s="3" t="inlineStr">
        <is>
          <t>顺位</t>
        </is>
      </c>
      <c r="O4" s="33" t="inlineStr">
        <is>
          <t>Đêm</t>
        </is>
      </c>
      <c r="P4" s="3" t="inlineStr">
        <is>
          <t>顺位</t>
        </is>
      </c>
      <c r="Q4" s="33" t="inlineStr">
        <is>
          <t xml:space="preserve"> Sáng</t>
        </is>
      </c>
      <c r="R4" s="3" t="inlineStr">
        <is>
          <t>顺位</t>
        </is>
      </c>
      <c r="S4" s="33" t="inlineStr">
        <is>
          <t>Chiều</t>
        </is>
      </c>
      <c r="T4" s="3" t="inlineStr">
        <is>
          <t>顺位</t>
        </is>
      </c>
      <c r="U4" s="33" t="inlineStr">
        <is>
          <t>Đêm</t>
        </is>
      </c>
      <c r="V4" s="3" t="inlineStr">
        <is>
          <t>顺位</t>
        </is>
      </c>
      <c r="W4" s="33" t="inlineStr">
        <is>
          <t xml:space="preserve"> Sáng</t>
        </is>
      </c>
      <c r="X4" s="3" t="inlineStr">
        <is>
          <t>顺位</t>
        </is>
      </c>
      <c r="Y4" s="33" t="inlineStr">
        <is>
          <t>Chiều</t>
        </is>
      </c>
      <c r="Z4" s="3" t="inlineStr">
        <is>
          <t>顺位</t>
        </is>
      </c>
      <c r="AA4" s="33" t="inlineStr">
        <is>
          <t>Đêm</t>
        </is>
      </c>
      <c r="AB4" s="3" t="inlineStr">
        <is>
          <t>顺位</t>
        </is>
      </c>
      <c r="AC4" s="33" t="inlineStr">
        <is>
          <t xml:space="preserve"> Sáng</t>
        </is>
      </c>
      <c r="AD4" s="3" t="inlineStr">
        <is>
          <t>顺位</t>
        </is>
      </c>
      <c r="AE4" s="33" t="inlineStr">
        <is>
          <t>Chiều</t>
        </is>
      </c>
      <c r="AF4" s="46" t="n"/>
      <c r="AG4" s="46" t="n"/>
      <c r="AH4" s="46" t="n"/>
    </row>
    <row r="5" ht="29.25" customHeight="1">
      <c r="A5" s="29" t="inlineStr">
        <is>
          <t>{.bigRollCode}</t>
        </is>
      </c>
      <c r="B5" s="6" t="n"/>
      <c r="C5" s="6" t="n"/>
      <c r="D5" s="6" t="n"/>
      <c r="E5" s="7" t="n"/>
      <c r="F5" s="47" t="n"/>
      <c r="G5" s="9" t="n"/>
      <c r="H5" s="9" t="n"/>
      <c r="I5" s="29" t="n"/>
      <c r="J5" s="29" t="inlineStr">
        <is>
          <t>{.class1ProduceOrder}</t>
        </is>
      </c>
      <c r="K5" s="29" t="inlineStr">
        <is>
          <t>{.class1PlanQty}</t>
        </is>
      </c>
      <c r="L5" s="29" t="inlineStr">
        <is>
          <t>{.class2ProduceOrder}</t>
        </is>
      </c>
      <c r="M5" s="29" t="inlineStr">
        <is>
          <t>{.class2PlanQty}</t>
        </is>
      </c>
      <c r="N5" s="29" t="inlineStr">
        <is>
          <t>{.class3ProduceOrder}</t>
        </is>
      </c>
      <c r="O5" s="29" t="inlineStr">
        <is>
          <t>{.class3PlanQty}</t>
        </is>
      </c>
      <c r="P5" s="29" t="inlineStr">
        <is>
          <t>{.class4ProduceOrder}</t>
        </is>
      </c>
      <c r="Q5" s="29" t="inlineStr">
        <is>
          <t>{.class4PlanQty}</t>
        </is>
      </c>
      <c r="R5" s="29" t="inlineStr">
        <is>
          <t>{.class5ProduceOrder}</t>
        </is>
      </c>
      <c r="S5" s="29" t="inlineStr">
        <is>
          <t>{.class5PlanQty}</t>
        </is>
      </c>
      <c r="T5" s="29" t="inlineStr">
        <is>
          <t>{.class6ProduceOrder}</t>
        </is>
      </c>
      <c r="U5" s="29" t="inlineStr">
        <is>
          <t>{.class6PlanQty}</t>
        </is>
      </c>
      <c r="V5" s="29" t="inlineStr">
        <is>
          <t>{.class7ProduceOrder}</t>
        </is>
      </c>
      <c r="W5" s="29" t="inlineStr">
        <is>
          <t>{.class7PlanQty}</t>
        </is>
      </c>
      <c r="X5" s="29" t="inlineStr">
        <is>
          <t>{.class8ProduceOrder}</t>
        </is>
      </c>
      <c r="Y5" s="29" t="inlineStr">
        <is>
          <t>{.class8PlanQty}</t>
        </is>
      </c>
      <c r="Z5" s="29" t="n"/>
      <c r="AA5" s="29" t="n"/>
      <c r="AB5" s="29" t="n"/>
      <c r="AC5" s="29" t="n"/>
      <c r="AD5" s="29" t="n"/>
      <c r="AE5" s="29" t="n"/>
      <c r="AF5" s="29">
        <f>SUM(K5,M5,O5,Q5,S5,U5,W5,Y5)</f>
        <v/>
      </c>
      <c r="AG5" s="47" t="n"/>
      <c r="AH5" s="9">
        <f>IFERROR((AF5+C5)/E5,"")</f>
        <v/>
      </c>
    </row>
    <row r="6" customFormat="1" s="20">
      <c r="A6" s="24" t="inlineStr">
        <is>
          <t>合计</t>
        </is>
      </c>
      <c r="B6" s="21" t="n"/>
      <c r="C6" s="21" t="n"/>
      <c r="D6" s="21" t="n"/>
      <c r="E6" s="22" t="n"/>
      <c r="F6" s="22" t="n"/>
      <c r="G6" s="23">
        <f>IFERROR(C6/E6,"")</f>
        <v/>
      </c>
      <c r="H6" s="30" t="n"/>
      <c r="I6" s="30" t="n"/>
      <c r="J6" s="30" t="n"/>
      <c r="K6" s="30">
        <f>SUM(K5:K5)</f>
        <v/>
      </c>
      <c r="L6" s="30" t="n"/>
      <c r="M6" s="30">
        <f>SUM(M5:M5)</f>
        <v/>
      </c>
      <c r="N6" s="30" t="n"/>
      <c r="O6" s="30">
        <f>SUM(O5:O5)</f>
        <v/>
      </c>
      <c r="P6" s="25" t="n"/>
      <c r="Q6" s="30">
        <f>SUM(Q5:Q5)</f>
        <v/>
      </c>
      <c r="R6" s="30" t="n"/>
      <c r="S6" s="30">
        <f>SUM(S5:S5)</f>
        <v/>
      </c>
      <c r="T6" s="30" t="n"/>
      <c r="U6" s="30">
        <f>SUM(U5:U5)</f>
        <v/>
      </c>
      <c r="V6" s="25" t="n"/>
      <c r="W6" s="30">
        <f>SUM(W5:W5)</f>
        <v/>
      </c>
      <c r="X6" s="30" t="n"/>
      <c r="Y6" s="30">
        <f>SUM(Y5:Y5)</f>
        <v/>
      </c>
      <c r="Z6" s="30" t="n"/>
      <c r="AA6" s="30" t="n"/>
      <c r="AB6" s="25" t="n"/>
      <c r="AC6" s="30" t="n"/>
      <c r="AD6" s="30" t="n"/>
      <c r="AE6" s="30" t="n"/>
      <c r="AF6" s="30">
        <f>SUM(K6,M6,O6,Q6,S6,U6,W6,Y6)</f>
        <v/>
      </c>
      <c r="AG6" s="30" t="n"/>
      <c r="AH6" s="23" t="n"/>
    </row>
    <row r="8" hidden="1" ht="21.6" customHeight="1">
      <c r="A8" s="41" t="inlineStr">
        <is>
          <t>胶料需求量</t>
        </is>
      </c>
      <c r="G8" s="48" t="n"/>
      <c r="H8" s="42" t="inlineStr">
        <is>
          <t>Đêm</t>
        </is>
      </c>
      <c r="I8" s="38" t="inlineStr">
        <is>
          <t>AQC453</t>
        </is>
      </c>
      <c r="J8" s="45" t="n"/>
      <c r="K8" s="38" t="n">
        <v>1</v>
      </c>
      <c r="L8" s="38" t="inlineStr">
        <is>
          <t>\</t>
        </is>
      </c>
      <c r="M8" s="38" t="n"/>
      <c r="N8" s="36" t="inlineStr">
        <is>
          <t>Đêm</t>
        </is>
      </c>
      <c r="O8" s="37" t="inlineStr">
        <is>
          <t>AQC453</t>
        </is>
      </c>
      <c r="P8" s="45" t="n"/>
      <c r="Q8" s="37" t="n">
        <v>1</v>
      </c>
      <c r="R8" s="37" t="n">
        <v>5000</v>
      </c>
      <c r="S8" s="45" t="n"/>
      <c r="T8" s="43" t="inlineStr">
        <is>
          <t>C481:
13500
C453:
12000</t>
        </is>
      </c>
      <c r="U8" s="36" t="inlineStr">
        <is>
          <t>Đêm</t>
        </is>
      </c>
      <c r="V8" s="37" t="inlineStr">
        <is>
          <t>AQC481</t>
        </is>
      </c>
      <c r="W8" s="45" t="n"/>
      <c r="X8" s="37" t="n">
        <v>1</v>
      </c>
      <c r="Y8" s="37" t="n">
        <v>14000</v>
      </c>
      <c r="Z8" s="45" t="n"/>
      <c r="AA8" s="43" t="inlineStr">
        <is>
          <t xml:space="preserve">C481:
26000
C453:
</t>
        </is>
      </c>
      <c r="AB8" s="36" t="inlineStr">
        <is>
          <t>Đêm</t>
        </is>
      </c>
      <c r="AC8" s="37" t="inlineStr">
        <is>
          <t>AQC481</t>
        </is>
      </c>
      <c r="AD8" s="45" t="n"/>
      <c r="AE8" s="37" t="n">
        <v>1</v>
      </c>
      <c r="AF8" s="37" t="n"/>
      <c r="AG8" s="45" t="n"/>
      <c r="AH8" s="37" t="n"/>
      <c r="AI8" s="37" t="n"/>
      <c r="AJ8" s="12" t="n"/>
    </row>
    <row r="9" hidden="1" ht="21.6" customHeight="1">
      <c r="A9" s="49" t="n"/>
      <c r="G9" s="48" t="n"/>
      <c r="H9" s="50" t="n"/>
      <c r="I9" s="38" t="inlineStr">
        <is>
          <t>AQC453</t>
        </is>
      </c>
      <c r="J9" s="45" t="n"/>
      <c r="K9" s="38" t="n">
        <v>2</v>
      </c>
      <c r="L9" s="38">
        <f>IFERROR(SUM(I5:I11)*2,"")</f>
        <v/>
      </c>
      <c r="M9" s="50" t="n"/>
      <c r="N9" s="50" t="n"/>
      <c r="O9" s="37" t="inlineStr">
        <is>
          <t>AQC453</t>
        </is>
      </c>
      <c r="P9" s="45" t="n"/>
      <c r="Q9" s="37" t="n">
        <v>2</v>
      </c>
      <c r="R9" s="37" t="n">
        <v>7000</v>
      </c>
      <c r="S9" s="45" t="n"/>
      <c r="T9" s="50" t="n"/>
      <c r="U9" s="50" t="n"/>
      <c r="V9" s="37" t="inlineStr">
        <is>
          <t>AQC481</t>
        </is>
      </c>
      <c r="W9" s="45" t="n"/>
      <c r="X9" s="37" t="n">
        <v>2</v>
      </c>
      <c r="Y9" s="37" t="n">
        <v>12000</v>
      </c>
      <c r="Z9" s="45" t="n"/>
      <c r="AA9" s="50" t="n"/>
      <c r="AB9" s="50" t="n"/>
      <c r="AC9" s="37" t="inlineStr">
        <is>
          <t>AQC481</t>
        </is>
      </c>
      <c r="AD9" s="45" t="n"/>
      <c r="AE9" s="37" t="n">
        <v>2</v>
      </c>
      <c r="AF9" s="37" t="n"/>
      <c r="AG9" s="45" t="n"/>
      <c r="AH9" s="37" t="n"/>
      <c r="AI9" s="37" t="n"/>
      <c r="AJ9" s="12" t="n"/>
    </row>
    <row r="10" hidden="1" ht="21.6" customHeight="1">
      <c r="A10" s="49" t="n"/>
      <c r="G10" s="48" t="n"/>
      <c r="H10" s="50" t="n"/>
      <c r="I10" s="38" t="inlineStr">
        <is>
          <t>AQC453</t>
        </is>
      </c>
      <c r="J10" s="45" t="n"/>
      <c r="K10" s="38" t="n">
        <v>3</v>
      </c>
      <c r="L10" s="38">
        <f>IFERROR(SUM(I6:I12)*2,"")</f>
        <v/>
      </c>
      <c r="M10" s="46" t="n"/>
      <c r="N10" s="50" t="n"/>
      <c r="O10" s="37" t="inlineStr">
        <is>
          <t>AQC481</t>
        </is>
      </c>
      <c r="P10" s="45" t="n"/>
      <c r="Q10" s="37" t="n">
        <v>3</v>
      </c>
      <c r="R10" s="37" t="n">
        <v>13500</v>
      </c>
      <c r="S10" s="45" t="n"/>
      <c r="T10" s="46" t="n"/>
      <c r="U10" s="50" t="n"/>
      <c r="V10" s="37" t="n"/>
      <c r="W10" s="45" t="n"/>
      <c r="X10" s="37" t="n">
        <v>3</v>
      </c>
      <c r="Y10" s="37" t="n"/>
      <c r="Z10" s="45" t="n"/>
      <c r="AA10" s="46" t="n"/>
      <c r="AB10" s="50" t="n"/>
      <c r="AC10" s="37" t="inlineStr">
        <is>
          <t>AQC481</t>
        </is>
      </c>
      <c r="AD10" s="45" t="n"/>
      <c r="AE10" s="37" t="n">
        <v>3</v>
      </c>
      <c r="AF10" s="37" t="n"/>
      <c r="AG10" s="45" t="n"/>
      <c r="AH10" s="37" t="n"/>
      <c r="AI10" s="37" t="n"/>
      <c r="AJ10" s="12" t="n"/>
    </row>
    <row r="11" hidden="1" ht="21.6" customHeight="1">
      <c r="A11" s="49" t="n"/>
      <c r="G11" s="48" t="n"/>
      <c r="H11" s="46" t="n"/>
      <c r="I11" s="38" t="inlineStr">
        <is>
          <t>AQC492</t>
        </is>
      </c>
      <c r="J11" s="44" t="n"/>
      <c r="K11" s="45" t="n"/>
      <c r="L11" s="38" t="n"/>
      <c r="M11" s="45" t="n"/>
      <c r="N11" s="46" t="n"/>
      <c r="O11" s="37" t="inlineStr">
        <is>
          <t>AQC492</t>
        </is>
      </c>
      <c r="P11" s="44" t="n"/>
      <c r="Q11" s="45" t="n"/>
      <c r="R11" s="37" t="n"/>
      <c r="S11" s="44" t="n"/>
      <c r="T11" s="45" t="n"/>
      <c r="U11" s="46" t="n"/>
      <c r="V11" s="37" t="inlineStr">
        <is>
          <t>AQC492</t>
        </is>
      </c>
      <c r="W11" s="44" t="n"/>
      <c r="X11" s="45" t="n"/>
      <c r="Y11" s="37" t="n"/>
      <c r="Z11" s="44" t="n"/>
      <c r="AA11" s="45" t="n"/>
      <c r="AB11" s="46" t="n"/>
      <c r="AC11" s="37" t="inlineStr">
        <is>
          <t>AQC492</t>
        </is>
      </c>
      <c r="AD11" s="44" t="n"/>
      <c r="AE11" s="45" t="n"/>
      <c r="AF11" s="37" t="n"/>
      <c r="AG11" s="45" t="n"/>
      <c r="AH11" s="37" t="n"/>
      <c r="AI11" s="37" t="n"/>
      <c r="AJ11" s="37" t="n"/>
    </row>
    <row r="12" hidden="1" ht="21.6" customHeight="1">
      <c r="A12" s="49" t="n"/>
      <c r="G12" s="48" t="n"/>
      <c r="H12" s="39" t="inlineStr">
        <is>
          <t xml:space="preserve"> Sáng</t>
        </is>
      </c>
      <c r="I12" s="39" t="inlineStr">
        <is>
          <t>AQC453</t>
        </is>
      </c>
      <c r="J12" s="45" t="n"/>
      <c r="K12" s="39" t="n">
        <v>1</v>
      </c>
      <c r="L12" s="39" t="n">
        <v>23000</v>
      </c>
      <c r="M12" s="43" t="inlineStr">
        <is>
          <t>C481:
C453:
23000</t>
        </is>
      </c>
      <c r="N12" s="39" t="inlineStr">
        <is>
          <t xml:space="preserve"> Sáng</t>
        </is>
      </c>
      <c r="O12" s="39" t="inlineStr">
        <is>
          <t>AQC481</t>
        </is>
      </c>
      <c r="P12" s="45" t="n"/>
      <c r="Q12" s="39" t="n">
        <v>1</v>
      </c>
      <c r="R12" s="39" t="n">
        <v>12000</v>
      </c>
      <c r="S12" s="45" t="n"/>
      <c r="T12" s="43" t="inlineStr">
        <is>
          <t xml:space="preserve">C481:
20000
C453:
</t>
        </is>
      </c>
      <c r="U12" s="39" t="inlineStr">
        <is>
          <t xml:space="preserve"> Sáng</t>
        </is>
      </c>
      <c r="V12" s="39" t="inlineStr">
        <is>
          <t>AQC481</t>
        </is>
      </c>
      <c r="W12" s="45" t="n"/>
      <c r="X12" s="39" t="n">
        <v>1</v>
      </c>
      <c r="Y12" s="39" t="n">
        <v>5000</v>
      </c>
      <c r="Z12" s="45" t="n"/>
      <c r="AA12" s="43" t="inlineStr">
        <is>
          <t>C481:
18000
C453:
6000</t>
        </is>
      </c>
      <c r="AB12" s="39" t="inlineStr">
        <is>
          <t xml:space="preserve"> Sáng</t>
        </is>
      </c>
      <c r="AC12" s="39" t="inlineStr">
        <is>
          <t>AQC481</t>
        </is>
      </c>
      <c r="AD12" s="45" t="n"/>
      <c r="AE12" s="39" t="n">
        <v>1</v>
      </c>
      <c r="AF12" s="39" t="n"/>
      <c r="AG12" s="45" t="n"/>
      <c r="AH12" s="39" t="n"/>
      <c r="AI12" s="39" t="n"/>
      <c r="AJ12" s="39" t="n"/>
    </row>
    <row r="13" hidden="1" ht="21.6" customHeight="1">
      <c r="A13" s="49" t="n"/>
      <c r="G13" s="48" t="n"/>
      <c r="H13" s="50" t="n"/>
      <c r="I13" s="39" t="n"/>
      <c r="J13" s="45" t="n"/>
      <c r="K13" s="39" t="n">
        <v>2</v>
      </c>
      <c r="L13" s="39" t="n"/>
      <c r="M13" s="50" t="n"/>
      <c r="N13" s="50" t="n"/>
      <c r="O13" s="39" t="inlineStr">
        <is>
          <t>AQC481</t>
        </is>
      </c>
      <c r="P13" s="45" t="n"/>
      <c r="Q13" s="39" t="n">
        <v>2</v>
      </c>
      <c r="R13" s="39" t="n">
        <v>8000</v>
      </c>
      <c r="S13" s="45" t="n"/>
      <c r="T13" s="50" t="n"/>
      <c r="U13" s="50" t="n"/>
      <c r="V13" s="39" t="inlineStr">
        <is>
          <t>AQC481</t>
        </is>
      </c>
      <c r="W13" s="45" t="n"/>
      <c r="X13" s="39" t="n">
        <v>2</v>
      </c>
      <c r="Y13" s="39" t="n">
        <v>14000</v>
      </c>
      <c r="Z13" s="45" t="n"/>
      <c r="AA13" s="50" t="n"/>
      <c r="AB13" s="50" t="n"/>
      <c r="AC13" s="39" t="inlineStr">
        <is>
          <t>AQC481</t>
        </is>
      </c>
      <c r="AD13" s="45" t="n"/>
      <c r="AE13" s="39" t="n">
        <v>2</v>
      </c>
      <c r="AF13" s="39" t="n"/>
      <c r="AG13" s="45" t="n"/>
      <c r="AH13" s="39" t="n"/>
      <c r="AI13" s="39" t="n"/>
      <c r="AJ13" s="39" t="n"/>
    </row>
    <row r="14" hidden="1" ht="21.6" customHeight="1">
      <c r="A14" s="49" t="n"/>
      <c r="G14" s="48" t="n"/>
      <c r="H14" s="50" t="n"/>
      <c r="I14" s="39" t="n"/>
      <c r="J14" s="45" t="n"/>
      <c r="K14" s="39" t="n">
        <v>3</v>
      </c>
      <c r="L14" s="39" t="n"/>
      <c r="M14" s="46" t="n"/>
      <c r="N14" s="50" t="n"/>
      <c r="O14" s="39" t="n"/>
      <c r="P14" s="45" t="n"/>
      <c r="Q14" s="39" t="n">
        <v>3</v>
      </c>
      <c r="R14" s="39" t="n"/>
      <c r="S14" s="45" t="n"/>
      <c r="T14" s="46" t="n"/>
      <c r="U14" s="50" t="n"/>
      <c r="V14" s="39" t="inlineStr">
        <is>
          <t>AQC453</t>
        </is>
      </c>
      <c r="W14" s="45" t="n"/>
      <c r="X14" s="39" t="n">
        <v>3</v>
      </c>
      <c r="Y14" s="39" t="n">
        <v>5000</v>
      </c>
      <c r="Z14" s="45" t="n"/>
      <c r="AA14" s="46" t="n"/>
      <c r="AB14" s="50" t="n"/>
      <c r="AC14" s="39" t="inlineStr">
        <is>
          <t>AQC481</t>
        </is>
      </c>
      <c r="AD14" s="45" t="n"/>
      <c r="AE14" s="39" t="n">
        <v>3</v>
      </c>
      <c r="AF14" s="39" t="n"/>
      <c r="AG14" s="45" t="n"/>
      <c r="AH14" s="39" t="n"/>
      <c r="AI14" s="39" t="n"/>
      <c r="AJ14" s="39" t="n"/>
    </row>
    <row r="15" hidden="1" ht="21.6" customFormat="1" customHeight="1" s="1">
      <c r="A15" s="49" t="n"/>
      <c r="G15" s="48" t="n"/>
      <c r="H15" s="46" t="n"/>
      <c r="I15" s="39" t="inlineStr">
        <is>
          <t>AQC492</t>
        </is>
      </c>
      <c r="J15" s="44" t="n"/>
      <c r="K15" s="45" t="n"/>
      <c r="L15" s="39" t="inlineStr">
        <is>
          <t>850kg</t>
        </is>
      </c>
      <c r="M15" s="45" t="n"/>
      <c r="N15" s="46" t="n"/>
      <c r="O15" s="39" t="inlineStr">
        <is>
          <t>AQC492</t>
        </is>
      </c>
      <c r="P15" s="44" t="n"/>
      <c r="Q15" s="45" t="n"/>
      <c r="R15" s="39" t="inlineStr">
        <is>
          <t>850kg</t>
        </is>
      </c>
      <c r="S15" s="44" t="n"/>
      <c r="T15" s="45" t="n"/>
      <c r="U15" s="46" t="n"/>
      <c r="V15" s="39" t="inlineStr">
        <is>
          <t>AQC492</t>
        </is>
      </c>
      <c r="W15" s="44" t="n"/>
      <c r="X15" s="45" t="n"/>
      <c r="Y15" s="39" t="inlineStr">
        <is>
          <t>850kg</t>
        </is>
      </c>
      <c r="Z15" s="44" t="n"/>
      <c r="AA15" s="45" t="n"/>
      <c r="AB15" s="46" t="n"/>
      <c r="AC15" s="39" t="inlineStr">
        <is>
          <t>AQC492</t>
        </is>
      </c>
      <c r="AD15" s="44" t="n"/>
      <c r="AE15" s="45" t="n"/>
      <c r="AF15" s="39" t="inlineStr">
        <is>
          <t>850kg</t>
        </is>
      </c>
      <c r="AG15" s="45" t="n"/>
      <c r="AH15" s="39" t="n"/>
      <c r="AI15" s="39" t="n"/>
      <c r="AJ15" s="43" t="n"/>
    </row>
    <row r="16" hidden="1" ht="21.6" customFormat="1" customHeight="1" s="1">
      <c r="A16" s="49" t="n"/>
      <c r="G16" s="48" t="n"/>
      <c r="H16" s="34" t="inlineStr">
        <is>
          <t>Chiều</t>
        </is>
      </c>
      <c r="I16" s="40" t="inlineStr">
        <is>
          <t>AQC481</t>
        </is>
      </c>
      <c r="J16" s="45" t="n"/>
      <c r="K16" s="40" t="n">
        <v>1</v>
      </c>
      <c r="L16" s="40" t="n">
        <v>14000</v>
      </c>
      <c r="M16" s="43" t="inlineStr">
        <is>
          <t>C481:
14000
C453:
12000</t>
        </is>
      </c>
      <c r="N16" s="34" t="inlineStr">
        <is>
          <t>Chiều</t>
        </is>
      </c>
      <c r="O16" s="40" t="inlineStr">
        <is>
          <t>AQC481</t>
        </is>
      </c>
      <c r="P16" s="45" t="n"/>
      <c r="Q16" s="40" t="n">
        <v>1</v>
      </c>
      <c r="R16" s="40" t="n">
        <v>9000</v>
      </c>
      <c r="S16" s="45" t="n"/>
      <c r="T16" s="43" t="inlineStr">
        <is>
          <t>C481:
9000
C453:
20000</t>
        </is>
      </c>
      <c r="U16" s="34" t="inlineStr">
        <is>
          <t>Chiều</t>
        </is>
      </c>
      <c r="V16" s="40" t="inlineStr">
        <is>
          <t>AQC453</t>
        </is>
      </c>
      <c r="W16" s="45" t="n"/>
      <c r="X16" s="40" t="n">
        <v>1</v>
      </c>
      <c r="Y16" s="40" t="n">
        <v>18000</v>
      </c>
      <c r="Z16" s="45" t="n"/>
      <c r="AA16" s="43" t="inlineStr">
        <is>
          <t>C481:
6000
C453:
18000</t>
        </is>
      </c>
      <c r="AB16" s="34" t="inlineStr">
        <is>
          <t>Chiều</t>
        </is>
      </c>
      <c r="AC16" s="40" t="inlineStr">
        <is>
          <t>AQC481</t>
        </is>
      </c>
      <c r="AD16" s="45" t="n"/>
      <c r="AE16" s="40" t="n">
        <v>1</v>
      </c>
      <c r="AF16" s="40" t="inlineStr">
        <is>
          <t>、</t>
        </is>
      </c>
      <c r="AG16" s="45" t="n"/>
      <c r="AH16" s="40" t="n"/>
      <c r="AI16" s="40" t="n"/>
      <c r="AJ16" s="34" t="n"/>
    </row>
    <row r="17" hidden="1" ht="21.6" customFormat="1" customHeight="1" s="1">
      <c r="A17" s="49" t="n"/>
      <c r="G17" s="48" t="n"/>
      <c r="H17" s="50" t="n"/>
      <c r="I17" s="40" t="inlineStr">
        <is>
          <t>AQC453</t>
        </is>
      </c>
      <c r="J17" s="45" t="n"/>
      <c r="K17" s="40" t="n">
        <v>2</v>
      </c>
      <c r="L17" s="40" t="n">
        <v>12000</v>
      </c>
      <c r="M17" s="50" t="n"/>
      <c r="N17" s="50" t="n"/>
      <c r="O17" s="40" t="inlineStr">
        <is>
          <t>AQC453</t>
        </is>
      </c>
      <c r="P17" s="45" t="n"/>
      <c r="Q17" s="40" t="n">
        <v>2</v>
      </c>
      <c r="R17" s="40" t="n">
        <v>20000</v>
      </c>
      <c r="S17" s="45" t="n"/>
      <c r="T17" s="50" t="n"/>
      <c r="U17" s="50" t="n"/>
      <c r="V17" s="40" t="inlineStr">
        <is>
          <t>AQC481</t>
        </is>
      </c>
      <c r="W17" s="45" t="n"/>
      <c r="X17" s="40" t="n">
        <v>2</v>
      </c>
      <c r="Y17" s="40" t="n">
        <v>6000</v>
      </c>
      <c r="Z17" s="45" t="n"/>
      <c r="AA17" s="50" t="n"/>
      <c r="AB17" s="50" t="n"/>
      <c r="AC17" s="40" t="inlineStr">
        <is>
          <t>AQC481</t>
        </is>
      </c>
      <c r="AD17" s="45" t="n"/>
      <c r="AE17" s="40" t="n">
        <v>2</v>
      </c>
      <c r="AF17" s="40" t="n"/>
      <c r="AG17" s="45" t="n"/>
      <c r="AH17" s="40" t="n"/>
      <c r="AI17" s="40" t="n"/>
      <c r="AJ17" s="34" t="n"/>
    </row>
    <row r="18" hidden="1" ht="21.6" customHeight="1">
      <c r="A18" s="49" t="n"/>
      <c r="G18" s="48" t="n"/>
      <c r="H18" s="50" t="n"/>
      <c r="I18" s="40" t="n"/>
      <c r="J18" s="45" t="n"/>
      <c r="K18" s="40" t="n">
        <v>3</v>
      </c>
      <c r="L18" s="40" t="n"/>
      <c r="M18" s="46" t="n"/>
      <c r="N18" s="50" t="n"/>
      <c r="O18" s="40" t="n"/>
      <c r="P18" s="45" t="n"/>
      <c r="Q18" s="40" t="n">
        <v>3</v>
      </c>
      <c r="R18" s="40" t="n"/>
      <c r="S18" s="45" t="n"/>
      <c r="T18" s="46" t="n"/>
      <c r="U18" s="50" t="n"/>
      <c r="V18" s="40" t="n"/>
      <c r="W18" s="45" t="n"/>
      <c r="X18" s="40" t="n">
        <v>3</v>
      </c>
      <c r="Y18" s="40" t="n"/>
      <c r="Z18" s="45" t="n"/>
      <c r="AA18" s="46" t="n"/>
      <c r="AB18" s="50" t="n"/>
      <c r="AC18" s="40" t="inlineStr">
        <is>
          <t>AQC481</t>
        </is>
      </c>
      <c r="AD18" s="45" t="n"/>
      <c r="AE18" s="40" t="n">
        <v>3</v>
      </c>
      <c r="AF18" s="40" t="n"/>
      <c r="AG18" s="45" t="n"/>
      <c r="AH18" s="40" t="n"/>
      <c r="AI18" s="40" t="n"/>
      <c r="AJ18" s="40" t="n"/>
    </row>
    <row r="19" hidden="1" ht="21.6" customHeight="1">
      <c r="A19" s="51" t="n"/>
      <c r="B19" s="52" t="n"/>
      <c r="C19" s="52" t="n"/>
      <c r="D19" s="52" t="n"/>
      <c r="E19" s="52" t="n"/>
      <c r="F19" s="52" t="n"/>
      <c r="G19" s="53" t="n"/>
      <c r="H19" s="46" t="n"/>
      <c r="I19" s="40" t="inlineStr">
        <is>
          <t>AQC492</t>
        </is>
      </c>
      <c r="J19" s="44" t="n"/>
      <c r="K19" s="45" t="n"/>
      <c r="L19" s="40" t="inlineStr">
        <is>
          <t>1000kg</t>
        </is>
      </c>
      <c r="M19" s="45" t="n"/>
      <c r="N19" s="46" t="n"/>
      <c r="O19" s="40" t="inlineStr">
        <is>
          <t>AQC492</t>
        </is>
      </c>
      <c r="P19" s="44" t="n"/>
      <c r="Q19" s="45" t="n"/>
      <c r="R19" s="40" t="inlineStr">
        <is>
          <t>1000kg</t>
        </is>
      </c>
      <c r="S19" s="44" t="n"/>
      <c r="T19" s="45" t="n"/>
      <c r="U19" s="46" t="n"/>
      <c r="V19" s="40" t="inlineStr">
        <is>
          <t>AQC492</t>
        </is>
      </c>
      <c r="W19" s="44" t="n"/>
      <c r="X19" s="45" t="n"/>
      <c r="Y19" s="40" t="inlineStr">
        <is>
          <t>1000kg</t>
        </is>
      </c>
      <c r="Z19" s="44" t="n"/>
      <c r="AA19" s="45" t="n"/>
      <c r="AB19" s="46" t="n"/>
      <c r="AC19" s="40" t="inlineStr">
        <is>
          <t>AQC492</t>
        </is>
      </c>
      <c r="AD19" s="44" t="n"/>
      <c r="AE19" s="45" t="n"/>
      <c r="AF19" s="40" t="inlineStr">
        <is>
          <t>750kg</t>
        </is>
      </c>
      <c r="AG19" s="45" t="n"/>
      <c r="AH19" s="40" t="n"/>
      <c r="AI19" s="40" t="n"/>
      <c r="AJ19" s="40" t="n"/>
    </row>
  </sheetData>
  <mergeCells count="125">
    <mergeCell ref="AF18:AG18"/>
    <mergeCell ref="Y11:AA11"/>
    <mergeCell ref="M12:M14"/>
    <mergeCell ref="V17:W17"/>
    <mergeCell ref="T16:T18"/>
    <mergeCell ref="F3:F4"/>
    <mergeCell ref="AC13:AD13"/>
    <mergeCell ref="L19:M19"/>
    <mergeCell ref="I16:J16"/>
    <mergeCell ref="G3:G4"/>
    <mergeCell ref="U16:U19"/>
    <mergeCell ref="AB12:AB15"/>
    <mergeCell ref="Y10:Z10"/>
    <mergeCell ref="AC8:AD8"/>
    <mergeCell ref="I18:J18"/>
    <mergeCell ref="R12:S12"/>
    <mergeCell ref="O16:P16"/>
    <mergeCell ref="Y16:Z16"/>
    <mergeCell ref="AF15:AG15"/>
    <mergeCell ref="AF12:AG12"/>
    <mergeCell ref="AG3:AG4"/>
    <mergeCell ref="AC10:AD10"/>
    <mergeCell ref="U8:U11"/>
    <mergeCell ref="H12:H15"/>
    <mergeCell ref="Y18:Z18"/>
    <mergeCell ref="AC9:AD9"/>
    <mergeCell ref="O8:P8"/>
    <mergeCell ref="O19:Q19"/>
    <mergeCell ref="O17:P17"/>
    <mergeCell ref="T12:T14"/>
    <mergeCell ref="A8:G19"/>
    <mergeCell ref="R18:S18"/>
    <mergeCell ref="AF13:AG13"/>
    <mergeCell ref="T8:T10"/>
    <mergeCell ref="I13:J13"/>
    <mergeCell ref="N3:S3"/>
    <mergeCell ref="R8:S8"/>
    <mergeCell ref="B3:B4"/>
    <mergeCell ref="R10:S10"/>
    <mergeCell ref="V8:W8"/>
    <mergeCell ref="AB16:AB19"/>
    <mergeCell ref="AC12:AD12"/>
    <mergeCell ref="AA12:AA14"/>
    <mergeCell ref="R16:S16"/>
    <mergeCell ref="V10:W10"/>
    <mergeCell ref="AF16:AG16"/>
    <mergeCell ref="D3:D4"/>
    <mergeCell ref="AC14:AD14"/>
    <mergeCell ref="V9:W9"/>
    <mergeCell ref="AF9:AG9"/>
    <mergeCell ref="AF14:AG14"/>
    <mergeCell ref="AF11:AG11"/>
    <mergeCell ref="I8:J8"/>
    <mergeCell ref="I17:J17"/>
    <mergeCell ref="O15:Q15"/>
    <mergeCell ref="R11:T11"/>
    <mergeCell ref="I10:J10"/>
    <mergeCell ref="C3:C4"/>
    <mergeCell ref="E3:E4"/>
    <mergeCell ref="M16:M18"/>
    <mergeCell ref="Y8:Z8"/>
    <mergeCell ref="R14:S14"/>
    <mergeCell ref="I9:J9"/>
    <mergeCell ref="AC17:AD17"/>
    <mergeCell ref="R15:T15"/>
    <mergeCell ref="Y19:AA19"/>
    <mergeCell ref="N16:N19"/>
    <mergeCell ref="Z3:AE3"/>
    <mergeCell ref="O9:P9"/>
    <mergeCell ref="V15:X15"/>
    <mergeCell ref="V13:W13"/>
    <mergeCell ref="Y9:Z9"/>
    <mergeCell ref="AC19:AE19"/>
    <mergeCell ref="H2:AH2"/>
    <mergeCell ref="Y14:Z14"/>
    <mergeCell ref="AF10:AG10"/>
    <mergeCell ref="N8:N11"/>
    <mergeCell ref="AC11:AE11"/>
    <mergeCell ref="AB8:AB11"/>
    <mergeCell ref="R17:S17"/>
    <mergeCell ref="Y13:Z13"/>
    <mergeCell ref="I15:K15"/>
    <mergeCell ref="AF8:AG8"/>
    <mergeCell ref="AF17:AG17"/>
    <mergeCell ref="R19:T19"/>
    <mergeCell ref="Y15:AA15"/>
    <mergeCell ref="AF3:AF4"/>
    <mergeCell ref="AH3:AH4"/>
    <mergeCell ref="L11:M11"/>
    <mergeCell ref="A2:G2"/>
    <mergeCell ref="AF19:AG19"/>
    <mergeCell ref="R9:S9"/>
    <mergeCell ref="V19:X19"/>
    <mergeCell ref="V12:W12"/>
    <mergeCell ref="AC15:AE15"/>
    <mergeCell ref="AC16:AD16"/>
    <mergeCell ref="O10:P10"/>
    <mergeCell ref="AA16:AA18"/>
    <mergeCell ref="O18:P18"/>
    <mergeCell ref="V14:W14"/>
    <mergeCell ref="R13:S13"/>
    <mergeCell ref="N12:N15"/>
    <mergeCell ref="AC18:AD18"/>
    <mergeCell ref="V11:X11"/>
    <mergeCell ref="M8:M10"/>
    <mergeCell ref="A3:A4"/>
    <mergeCell ref="AA8:AA10"/>
    <mergeCell ref="L15:M15"/>
    <mergeCell ref="H3:M3"/>
    <mergeCell ref="Y17:Z17"/>
    <mergeCell ref="O11:Q11"/>
    <mergeCell ref="I19:K19"/>
    <mergeCell ref="I12:J12"/>
    <mergeCell ref="U12:U15"/>
    <mergeCell ref="H16:H19"/>
    <mergeCell ref="T3:Y3"/>
    <mergeCell ref="I14:J14"/>
    <mergeCell ref="O12:P12"/>
    <mergeCell ref="I11:K11"/>
    <mergeCell ref="Y12:Z12"/>
    <mergeCell ref="V16:W16"/>
    <mergeCell ref="H8:H11"/>
    <mergeCell ref="O14:P14"/>
    <mergeCell ref="V18:W18"/>
    <mergeCell ref="O13:P13"/>
  </mergeCells>
  <dataValidations count="1">
    <dataValidation sqref="I7:J9 I11:J13 I15:J17 O7:P9 O11:P13 O15:P17 U7:V9 U11:V13 U15:V17 AA7:AB9 AA11:AB13 AA15:AB17" showDropDown="0" showInputMessage="1" showErrorMessage="1" allowBlank="1" type="list">
      <formula1>"AQC481,AQC453"</formula1>
    </dataValidation>
  </dataValidations>
  <pageMargins left="0.7" right="0.7" top="0.75" bottom="0.75" header="0.3" footer="0.3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2026-08-04T07:14:38Z</dcterms:created>
  <dcterms:modified xmlns:dcterms="http://purl.org/dc/terms/" xmlns:xsi="http://www.w3.org/2001/XMLSchema-instance" xsi:type="dcterms:W3CDTF">2026-08-04T07:14:38Z</dcterms:modified>
  <cp:lastModifiedBy>XUEH</cp:lastModifiedBy>
</cp:coreProperties>
</file>