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onthplan\src\main\resources\excelModel\"/>
    </mc:Choice>
  </mc:AlternateContent>
  <xr:revisionPtr revIDLastSave="0" documentId="13_ncr:1_{763ECAF0-0524-46BB-8FDA-A1150F6CD6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1" i="1"/>
  <c r="G11" i="1"/>
  <c r="H11" i="1"/>
  <c r="I11" i="1"/>
  <c r="J11" i="1"/>
  <c r="K11" i="1"/>
  <c r="L11" i="1"/>
  <c r="M11" i="1"/>
  <c r="N11" i="1"/>
  <c r="C11" i="1"/>
  <c r="D9" i="1"/>
  <c r="E9" i="1"/>
  <c r="F9" i="1"/>
  <c r="G9" i="1"/>
  <c r="H9" i="1"/>
  <c r="I9" i="1"/>
  <c r="J9" i="1"/>
  <c r="K9" i="1"/>
  <c r="L9" i="1"/>
  <c r="M9" i="1"/>
  <c r="N9" i="1"/>
  <c r="C9" i="1"/>
  <c r="D6" i="1"/>
  <c r="E6" i="1"/>
  <c r="F6" i="1"/>
  <c r="G6" i="1"/>
  <c r="H6" i="1"/>
  <c r="I6" i="1"/>
  <c r="J6" i="1"/>
  <c r="K6" i="1"/>
  <c r="L6" i="1"/>
  <c r="M6" i="1"/>
  <c r="N6" i="1"/>
  <c r="C6" i="1"/>
  <c r="D4" i="1"/>
  <c r="E4" i="1"/>
  <c r="F4" i="1"/>
  <c r="G4" i="1"/>
  <c r="H4" i="1"/>
  <c r="I4" i="1"/>
  <c r="J4" i="1"/>
  <c r="K4" i="1"/>
  <c r="L4" i="1"/>
  <c r="M4" i="1"/>
  <c r="N4" i="1"/>
  <c r="C4" i="1"/>
  <c r="P8" i="1"/>
  <c r="O8" i="1"/>
  <c r="P3" i="1"/>
  <c r="O3" i="1"/>
  <c r="P2" i="1" l="1"/>
  <c r="O2" i="1"/>
  <c r="P11" i="1"/>
  <c r="P10" i="1"/>
  <c r="O10" i="1"/>
  <c r="P9" i="1"/>
  <c r="P7" i="1"/>
  <c r="O7" i="1"/>
  <c r="P5" i="1"/>
  <c r="O5" i="1"/>
  <c r="O9" i="1" l="1"/>
  <c r="P6" i="1"/>
  <c r="O4" i="1"/>
  <c r="O6" i="1"/>
  <c r="P4" i="1"/>
  <c r="O11" i="1"/>
</calcChain>
</file>

<file path=xl/sharedStrings.xml><?xml version="1.0" encoding="utf-8"?>
<sst xmlns="http://schemas.openxmlformats.org/spreadsheetml/2006/main" count="111" uniqueCount="107">
  <si>
    <t>项目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</si>
  <si>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</si>
  <si>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</si>
  <si>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</si>
  <si>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</si>
  <si>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</si>
  <si>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</si>
  <si>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</si>
  <si>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</si>
  <si>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</si>
  <si>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</si>
  <si>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</si>
  <si>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</si>
  <si>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</si>
  <si>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年累计</t>
  </si>
  <si>
    <t>H1</t>
  </si>
  <si>
    <t>月对比H1</t>
  </si>
  <si>
    <t>计划</t>
  </si>
  <si>
    <t>总数（条）</t>
  </si>
  <si>
    <t>计划生产天数</t>
  </si>
  <si>
    <t>平均日产（条）</t>
  </si>
  <si>
    <t>SKU总数（个）</t>
  </si>
  <si>
    <t>平均每SKU数量（条/个）</t>
  </si>
  <si>
    <t>完成</t>
  </si>
  <si>
    <t>实际生产天数</t>
  </si>
  <si>
    <t>{produceTotalA}</t>
    <phoneticPr fontId="2" type="noConversion"/>
  </si>
  <si>
    <t>{produceTotalB}</t>
    <phoneticPr fontId="2" type="noConversion"/>
  </si>
  <si>
    <t>{produceTotalC}</t>
    <phoneticPr fontId="2" type="noConversion"/>
  </si>
  <si>
    <t>{produceTotalD}</t>
    <phoneticPr fontId="2" type="noConversion"/>
  </si>
  <si>
    <t>{produceTotalE}</t>
    <phoneticPr fontId="2" type="noConversion"/>
  </si>
  <si>
    <t>{produceTotalF}</t>
    <phoneticPr fontId="2" type="noConversion"/>
  </si>
  <si>
    <t>{produceTotalG}</t>
    <phoneticPr fontId="2" type="noConversion"/>
  </si>
  <si>
    <t>{produceTotalH}</t>
    <phoneticPr fontId="2" type="noConversion"/>
  </si>
  <si>
    <t>{produceTotalI}</t>
    <phoneticPr fontId="2" type="noConversion"/>
  </si>
  <si>
    <t>{produceTotalJ}</t>
    <phoneticPr fontId="2" type="noConversion"/>
  </si>
  <si>
    <t>{produceTotalK}</t>
    <phoneticPr fontId="2" type="noConversion"/>
  </si>
  <si>
    <t>{produceTotalL}</t>
    <phoneticPr fontId="2" type="noConversion"/>
  </si>
  <si>
    <t>{planDayB}</t>
  </si>
  <si>
    <t>{planDayC}</t>
  </si>
  <si>
    <t>{planDayD}</t>
  </si>
  <si>
    <t>{planDayE}</t>
  </si>
  <si>
    <t>{planDayF}</t>
  </si>
  <si>
    <t>{planDayG}</t>
  </si>
  <si>
    <t>{planDayH}</t>
  </si>
  <si>
    <t>{planDayI}</t>
  </si>
  <si>
    <t>{planDayJ}</t>
  </si>
  <si>
    <t>{planDayK}</t>
  </si>
  <si>
    <t>{planDayL}</t>
  </si>
  <si>
    <t>{planDayA}</t>
  </si>
  <si>
    <t>{produceSkuCountA}</t>
  </si>
  <si>
    <t>{produceSkuCountB}</t>
  </si>
  <si>
    <t>{produceSkuCountC}</t>
  </si>
  <si>
    <t>{produceSkuCountD}</t>
  </si>
  <si>
    <t>{produceSkuCountE}</t>
  </si>
  <si>
    <t>{produceSkuCountF}</t>
  </si>
  <si>
    <t>{produceSkuCountG}</t>
  </si>
  <si>
    <t>{produceSkuCountH}</t>
  </si>
  <si>
    <t>{produceSkuCountI}</t>
  </si>
  <si>
    <t>{produceSkuCountJ}</t>
  </si>
  <si>
    <t>{produceSkuCountK}</t>
  </si>
  <si>
    <t>{produceSkuCountL}</t>
  </si>
  <si>
    <t>{finishTotalA}</t>
  </si>
  <si>
    <t>{finishTotalB}</t>
  </si>
  <si>
    <t>{finishTotalC}</t>
  </si>
  <si>
    <t>{finishTotalD}</t>
  </si>
  <si>
    <t>{finishTotalE}</t>
  </si>
  <si>
    <t>{finishTotalF}</t>
  </si>
  <si>
    <t>{finishTotalG}</t>
  </si>
  <si>
    <t>{finishTotalH}</t>
  </si>
  <si>
    <t>{finishTotalI}</t>
  </si>
  <si>
    <t>{finishTotalJ}</t>
  </si>
  <si>
    <t>{finishTotalK}</t>
  </si>
  <si>
    <t>{finishTotalL}</t>
  </si>
  <si>
    <t>{actualDayA}</t>
  </si>
  <si>
    <t>{actualDayB}</t>
  </si>
  <si>
    <t>{actualDayC}</t>
  </si>
  <si>
    <t>{actualDayD}</t>
  </si>
  <si>
    <t>{actualDayE}</t>
  </si>
  <si>
    <t>{actualDayF}</t>
  </si>
  <si>
    <t>{actualDayG}</t>
  </si>
  <si>
    <t>{actualDayH}</t>
  </si>
  <si>
    <t>{actualDayI}</t>
  </si>
  <si>
    <t>{actualDayJ}</t>
  </si>
  <si>
    <t>{actualDayK}</t>
  </si>
  <si>
    <t>{actualDayL}</t>
  </si>
  <si>
    <t>{finishSkuCountA}</t>
  </si>
  <si>
    <t>{finishSkuCountB}</t>
  </si>
  <si>
    <t>{finishSkuCountC}</t>
  </si>
  <si>
    <t>{finishSkuCountD}</t>
  </si>
  <si>
    <t>{finishSkuCountE}</t>
  </si>
  <si>
    <t>{finishSkuCountF}</t>
  </si>
  <si>
    <t>{finishSkuCountG}</t>
  </si>
  <si>
    <t>{finishSkuCountH}</t>
  </si>
  <si>
    <t>{finishSkuCountI}</t>
  </si>
  <si>
    <t>{finishSkuCountJ}</t>
  </si>
  <si>
    <t>{finishSkuCountK}</t>
  </si>
  <si>
    <t>{finishSkuCountL}</t>
  </si>
  <si>
    <t>{produceTotalDiff}</t>
    <phoneticPr fontId="2" type="noConversion"/>
  </si>
  <si>
    <t>{planDayDiff}</t>
    <phoneticPr fontId="2" type="noConversion"/>
  </si>
  <si>
    <t>{avgDailyProduceDiff}</t>
    <phoneticPr fontId="2" type="noConversion"/>
  </si>
  <si>
    <t>{produceSkuCountDiff}</t>
    <phoneticPr fontId="2" type="noConversion"/>
  </si>
  <si>
    <t>{produceAvgSkuCountDiff}</t>
    <phoneticPr fontId="2" type="noConversion"/>
  </si>
  <si>
    <t>{finishTotalDiff}</t>
    <phoneticPr fontId="2" type="noConversion"/>
  </si>
  <si>
    <t>{actualDayDiff}</t>
    <phoneticPr fontId="2" type="noConversion"/>
  </si>
  <si>
    <t>{avgDailyFinishDiff}</t>
    <phoneticPr fontId="2" type="noConversion"/>
  </si>
  <si>
    <t>{finishSkuCountDiff}</t>
    <phoneticPr fontId="2" type="noConversion"/>
  </si>
  <si>
    <t>{finishAvgSkuCountDiff}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</si>
</sst>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9" fontId="0" fillId="2" borderId="2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1" fontId="0" fillId="0" borderId="4" xfId="0" applyNumberFormat="1" applyBorder="1" applyAlignment="1">
      <alignment horizontal="center" vertical="center" wrapText="1"/>
    </xf>
    <xf numFmtId="41" fontId="0" fillId="0" borderId="4" xfId="0" applyNumberFormat="1" applyBorder="1"/>
    <xf numFmtId="9" fontId="0" fillId="0" borderId="4" xfId="1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1" fontId="0" fillId="3" borderId="4" xfId="0" applyNumberFormat="1" applyFill="1" applyBorder="1" applyAlignment="1">
      <alignment horizontal="center" vertical="center" wrapText="1"/>
    </xf>
    <xf numFmtId="41" fontId="0" fillId="3" borderId="4" xfId="0" applyNumberFormat="1" applyFill="1" applyBorder="1"/>
    <xf numFmtId="9" fontId="0" fillId="3" borderId="4" xfId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41" fontId="0" fillId="3" borderId="6" xfId="0" applyNumberFormat="1" applyFill="1" applyBorder="1" applyAlignment="1">
      <alignment horizontal="center" vertical="center" wrapText="1"/>
    </xf>
    <xf numFmtId="41" fontId="0" fillId="3" borderId="6" xfId="0" applyNumberFormat="1" applyFill="1" applyBorder="1"/>
    <xf numFmtId="9" fontId="0" fillId="3" borderId="6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3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C1" sqref="C1:N1048576"/>
    </sheetView>
  </sheetViews>
  <sheetFormatPr defaultRowHeight="13.8" x14ac:dyDescent="0.25"/>
  <cols>
    <col min="1" max="1" width="12.33203125" customWidth="1"/>
    <col min="2" max="2" width="29.77734375" customWidth="1"/>
    <col min="3" max="14" width="9.77734375" customWidth="1"/>
    <col min="15" max="15" width="10" customWidth="1"/>
    <col min="16" max="16" width="9.77734375" customWidth="1"/>
  </cols>
  <sheetData>
    <row r="1" spans="1:17" ht="27.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ht="41.4" x14ac:dyDescent="0.25">
      <c r="A2" s="16" t="s">
        <v>17</v>
      </c>
      <c r="B2" s="4" t="s">
        <v>18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6">
        <f t="shared" ref="O2:O11" si="0">SUM(C2:N2)</f>
        <v>0</v>
      </c>
      <c r="P2" s="5">
        <f t="shared" ref="P2:P11" si="1">AVERAGEA(C2:N2)</f>
        <v>0</v>
      </c>
      <c r="Q2" s="7" t="s">
        <v>97</v>
      </c>
    </row>
    <row r="3" spans="1:17" ht="41.4" x14ac:dyDescent="0.25">
      <c r="A3" s="16"/>
      <c r="B3" s="4" t="s">
        <v>19</v>
      </c>
      <c r="C3" s="5" t="s">
        <v>48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6">
        <f t="shared" si="0"/>
        <v>0</v>
      </c>
      <c r="P3" s="5">
        <f t="shared" si="1"/>
        <v>0</v>
      </c>
      <c r="Q3" s="7" t="s">
        <v>98</v>
      </c>
    </row>
    <row r="4" spans="1:17" ht="41.4" x14ac:dyDescent="0.25">
      <c r="A4" s="16"/>
      <c r="B4" s="8" t="s">
        <v>20</v>
      </c>
      <c r="C4" s="9">
        <f>IFERROR(C2/C3, 0)</f>
        <v>0</v>
      </c>
      <c r="D4" s="9">
        <f t="shared" ref="D4:N4" si="2">IFERROR(D2/D3, 0)</f>
        <v>0</v>
      </c>
      <c r="E4" s="9">
        <f t="shared" si="2"/>
        <v>0</v>
      </c>
      <c r="F4" s="9">
        <f t="shared" si="2"/>
        <v>0</v>
      </c>
      <c r="G4" s="9">
        <f t="shared" si="2"/>
        <v>0</v>
      </c>
      <c r="H4" s="9">
        <f t="shared" si="2"/>
        <v>0</v>
      </c>
      <c r="I4" s="9">
        <f t="shared" si="2"/>
        <v>0</v>
      </c>
      <c r="J4" s="9">
        <f t="shared" si="2"/>
        <v>0</v>
      </c>
      <c r="K4" s="9">
        <f t="shared" si="2"/>
        <v>0</v>
      </c>
      <c r="L4" s="9">
        <f t="shared" si="2"/>
        <v>0</v>
      </c>
      <c r="M4" s="9">
        <f t="shared" si="2"/>
        <v>0</v>
      </c>
      <c r="N4" s="9">
        <f t="shared" si="2"/>
        <v>0</v>
      </c>
      <c r="O4" s="10">
        <f t="shared" si="0"/>
        <v>0</v>
      </c>
      <c r="P4" s="9">
        <f t="shared" si="1"/>
        <v>0</v>
      </c>
      <c r="Q4" s="11" t="s">
        <v>99</v>
      </c>
    </row>
    <row r="5" spans="1:17" ht="55.2" x14ac:dyDescent="0.25">
      <c r="A5" s="16"/>
      <c r="B5" s="4" t="s">
        <v>21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  <c r="J5" s="5" t="s">
        <v>56</v>
      </c>
      <c r="K5" s="5" t="s">
        <v>57</v>
      </c>
      <c r="L5" s="5" t="s">
        <v>58</v>
      </c>
      <c r="M5" s="5" t="s">
        <v>59</v>
      </c>
      <c r="N5" s="5" t="s">
        <v>60</v>
      </c>
      <c r="O5" s="6">
        <f t="shared" si="0"/>
        <v>0</v>
      </c>
      <c r="P5" s="5">
        <f t="shared" si="1"/>
        <v>0</v>
      </c>
      <c r="Q5" s="7" t="s">
        <v>100</v>
      </c>
    </row>
    <row r="6" spans="1:17" ht="41.4" x14ac:dyDescent="0.25">
      <c r="A6" s="16"/>
      <c r="B6" s="8" t="s">
        <v>22</v>
      </c>
      <c r="C6" s="9">
        <f>IFERROR(C2/C5, 0)</f>
        <v>0</v>
      </c>
      <c r="D6" s="9">
        <f t="shared" ref="D6:N6" si="3">IFERROR(D2/D5, 0)</f>
        <v>0</v>
      </c>
      <c r="E6" s="9">
        <f t="shared" si="3"/>
        <v>0</v>
      </c>
      <c r="F6" s="9">
        <f t="shared" si="3"/>
        <v>0</v>
      </c>
      <c r="G6" s="9">
        <f t="shared" si="3"/>
        <v>0</v>
      </c>
      <c r="H6" s="9">
        <f t="shared" si="3"/>
        <v>0</v>
      </c>
      <c r="I6" s="9">
        <f t="shared" si="3"/>
        <v>0</v>
      </c>
      <c r="J6" s="9">
        <f t="shared" si="3"/>
        <v>0</v>
      </c>
      <c r="K6" s="9">
        <f t="shared" si="3"/>
        <v>0</v>
      </c>
      <c r="L6" s="9">
        <f t="shared" si="3"/>
        <v>0</v>
      </c>
      <c r="M6" s="9">
        <f t="shared" si="3"/>
        <v>0</v>
      </c>
      <c r="N6" s="9">
        <f t="shared" si="3"/>
        <v>0</v>
      </c>
      <c r="O6" s="10">
        <f t="shared" si="0"/>
        <v>0</v>
      </c>
      <c r="P6" s="9">
        <f t="shared" si="1"/>
        <v>0</v>
      </c>
      <c r="Q6" s="11" t="s">
        <v>101</v>
      </c>
    </row>
    <row r="7" spans="1:17" ht="41.4" x14ac:dyDescent="0.25">
      <c r="A7" s="16" t="s">
        <v>23</v>
      </c>
      <c r="B7" s="4" t="s">
        <v>18</v>
      </c>
      <c r="C7" s="5" t="s">
        <v>61</v>
      </c>
      <c r="D7" s="5" t="s">
        <v>62</v>
      </c>
      <c r="E7" s="5" t="s">
        <v>63</v>
      </c>
      <c r="F7" s="5" t="s">
        <v>64</v>
      </c>
      <c r="G7" s="5" t="s">
        <v>65</v>
      </c>
      <c r="H7" s="5" t="s">
        <v>66</v>
      </c>
      <c r="I7" s="5" t="s">
        <v>67</v>
      </c>
      <c r="J7" s="5" t="s">
        <v>68</v>
      </c>
      <c r="K7" s="5" t="s">
        <v>69</v>
      </c>
      <c r="L7" s="5" t="s">
        <v>70</v>
      </c>
      <c r="M7" s="5" t="s">
        <v>71</v>
      </c>
      <c r="N7" s="5" t="s">
        <v>72</v>
      </c>
      <c r="O7" s="6">
        <f t="shared" si="0"/>
        <v>0</v>
      </c>
      <c r="P7" s="5">
        <f t="shared" si="1"/>
        <v>0</v>
      </c>
      <c r="Q7" s="7" t="s">
        <v>102</v>
      </c>
    </row>
    <row r="8" spans="1:17" ht="41.4" x14ac:dyDescent="0.25">
      <c r="A8" s="16"/>
      <c r="B8" s="4" t="s">
        <v>24</v>
      </c>
      <c r="C8" s="5" t="s">
        <v>73</v>
      </c>
      <c r="D8" s="5" t="s">
        <v>74</v>
      </c>
      <c r="E8" s="5" t="s">
        <v>75</v>
      </c>
      <c r="F8" s="5" t="s">
        <v>76</v>
      </c>
      <c r="G8" s="5" t="s">
        <v>77</v>
      </c>
      <c r="H8" s="5" t="s">
        <v>78</v>
      </c>
      <c r="I8" s="5" t="s">
        <v>79</v>
      </c>
      <c r="J8" s="5" t="s">
        <v>80</v>
      </c>
      <c r="K8" s="5" t="s">
        <v>81</v>
      </c>
      <c r="L8" s="5" t="s">
        <v>82</v>
      </c>
      <c r="M8" s="5" t="s">
        <v>83</v>
      </c>
      <c r="N8" s="5" t="s">
        <v>84</v>
      </c>
      <c r="O8" s="6">
        <f t="shared" si="0"/>
        <v>0</v>
      </c>
      <c r="P8" s="5">
        <f t="shared" si="1"/>
        <v>0</v>
      </c>
      <c r="Q8" s="7" t="s">
        <v>103</v>
      </c>
    </row>
    <row r="9" spans="1:17" ht="41.4" x14ac:dyDescent="0.25">
      <c r="A9" s="16"/>
      <c r="B9" s="8" t="s">
        <v>20</v>
      </c>
      <c r="C9" s="9">
        <f>IFERROR(C7/C8, 0)</f>
        <v>0</v>
      </c>
      <c r="D9" s="9">
        <f t="shared" ref="D9:N9" si="4">IFERROR(D7/D8, 0)</f>
        <v>0</v>
      </c>
      <c r="E9" s="9">
        <f t="shared" si="4"/>
        <v>0</v>
      </c>
      <c r="F9" s="9">
        <f t="shared" si="4"/>
        <v>0</v>
      </c>
      <c r="G9" s="9">
        <f t="shared" si="4"/>
        <v>0</v>
      </c>
      <c r="H9" s="9">
        <f t="shared" si="4"/>
        <v>0</v>
      </c>
      <c r="I9" s="9">
        <f t="shared" si="4"/>
        <v>0</v>
      </c>
      <c r="J9" s="9">
        <f t="shared" si="4"/>
        <v>0</v>
      </c>
      <c r="K9" s="9">
        <f t="shared" si="4"/>
        <v>0</v>
      </c>
      <c r="L9" s="9">
        <f t="shared" si="4"/>
        <v>0</v>
      </c>
      <c r="M9" s="9">
        <f t="shared" si="4"/>
        <v>0</v>
      </c>
      <c r="N9" s="9">
        <f t="shared" si="4"/>
        <v>0</v>
      </c>
      <c r="O9" s="10">
        <f t="shared" si="0"/>
        <v>0</v>
      </c>
      <c r="P9" s="9">
        <f t="shared" si="1"/>
        <v>0</v>
      </c>
      <c r="Q9" s="11" t="s">
        <v>104</v>
      </c>
    </row>
    <row r="10" spans="1:17" ht="55.2" x14ac:dyDescent="0.25">
      <c r="A10" s="16"/>
      <c r="B10" s="4" t="s">
        <v>21</v>
      </c>
      <c r="C10" s="5" t="s">
        <v>85</v>
      </c>
      <c r="D10" s="5" t="s">
        <v>86</v>
      </c>
      <c r="E10" s="5" t="s">
        <v>87</v>
      </c>
      <c r="F10" s="5" t="s">
        <v>88</v>
      </c>
      <c r="G10" s="5" t="s">
        <v>89</v>
      </c>
      <c r="H10" s="5" t="s">
        <v>90</v>
      </c>
      <c r="I10" s="5" t="s">
        <v>91</v>
      </c>
      <c r="J10" s="5" t="s">
        <v>92</v>
      </c>
      <c r="K10" s="5" t="s">
        <v>93</v>
      </c>
      <c r="L10" s="5" t="s">
        <v>94</v>
      </c>
      <c r="M10" s="5" t="s">
        <v>95</v>
      </c>
      <c r="N10" s="5" t="s">
        <v>96</v>
      </c>
      <c r="O10" s="6">
        <f t="shared" si="0"/>
        <v>0</v>
      </c>
      <c r="P10" s="5">
        <f t="shared" si="1"/>
        <v>0</v>
      </c>
      <c r="Q10" s="7" t="s">
        <v>105</v>
      </c>
    </row>
    <row r="11" spans="1:17" ht="42" thickBot="1" x14ac:dyDescent="0.3">
      <c r="A11" s="17"/>
      <c r="B11" s="12" t="s">
        <v>22</v>
      </c>
      <c r="C11" s="13">
        <f>IFERROR(C7/C10, 0)</f>
        <v>0</v>
      </c>
      <c r="D11" s="13">
        <f t="shared" ref="D11:N11" si="5">IFERROR(D7/D10, 0)</f>
        <v>0</v>
      </c>
      <c r="E11" s="13">
        <f t="shared" si="5"/>
        <v>0</v>
      </c>
      <c r="F11" s="13">
        <f t="shared" si="5"/>
        <v>0</v>
      </c>
      <c r="G11" s="13">
        <f t="shared" si="5"/>
        <v>0</v>
      </c>
      <c r="H11" s="13">
        <f t="shared" si="5"/>
        <v>0</v>
      </c>
      <c r="I11" s="13">
        <f t="shared" si="5"/>
        <v>0</v>
      </c>
      <c r="J11" s="13">
        <f t="shared" si="5"/>
        <v>0</v>
      </c>
      <c r="K11" s="13">
        <f t="shared" si="5"/>
        <v>0</v>
      </c>
      <c r="L11" s="13">
        <f t="shared" si="5"/>
        <v>0</v>
      </c>
      <c r="M11" s="13">
        <f t="shared" si="5"/>
        <v>0</v>
      </c>
      <c r="N11" s="13">
        <f t="shared" si="5"/>
        <v>0</v>
      </c>
      <c r="O11" s="14">
        <f t="shared" si="0"/>
        <v>0</v>
      </c>
      <c r="P11" s="13">
        <f t="shared" si="1"/>
        <v>0</v>
      </c>
      <c r="Q11" s="15" t="s">
        <v>106</v>
      </c>
    </row>
  </sheetData>
  <mergeCells count="2">
    <mergeCell ref="A2:A6"/>
    <mergeCell ref="A7:A11"/>
  </mergeCells>
  <phoneticPr fontId="2" type="noConversion"/>
  <conditionalFormatting sqref="C2:C3">
    <cfRule type="duplicateValues" dxfId="33" priority="36"/>
  </conditionalFormatting>
  <conditionalFormatting sqref="C5">
    <cfRule type="duplicateValues" dxfId="32" priority="24"/>
  </conditionalFormatting>
  <conditionalFormatting sqref="C7">
    <cfRule type="duplicateValues" dxfId="31" priority="18"/>
  </conditionalFormatting>
  <conditionalFormatting sqref="C8">
    <cfRule type="duplicateValues" dxfId="30" priority="12"/>
  </conditionalFormatting>
  <conditionalFormatting sqref="C10">
    <cfRule type="duplicateValues" dxfId="29" priority="6"/>
  </conditionalFormatting>
  <conditionalFormatting sqref="C4:N4 C6:N6">
    <cfRule type="duplicateValues" dxfId="28" priority="30"/>
  </conditionalFormatting>
  <conditionalFormatting sqref="C9:N9">
    <cfRule type="duplicateValues" dxfId="27" priority="29"/>
  </conditionalFormatting>
  <conditionalFormatting sqref="D2:D3">
    <cfRule type="duplicateValues" dxfId="26" priority="26"/>
  </conditionalFormatting>
  <conditionalFormatting sqref="D5">
    <cfRule type="duplicateValues" dxfId="25" priority="19"/>
  </conditionalFormatting>
  <conditionalFormatting sqref="D7">
    <cfRule type="duplicateValues" dxfId="24" priority="13"/>
  </conditionalFormatting>
  <conditionalFormatting sqref="D8">
    <cfRule type="duplicateValues" dxfId="23" priority="7"/>
  </conditionalFormatting>
  <conditionalFormatting sqref="D10">
    <cfRule type="duplicateValues" dxfId="22" priority="1"/>
  </conditionalFormatting>
  <conditionalFormatting sqref="E2:E3">
    <cfRule type="duplicateValues" dxfId="21" priority="34"/>
  </conditionalFormatting>
  <conditionalFormatting sqref="E5">
    <cfRule type="duplicateValues" dxfId="20" priority="23"/>
  </conditionalFormatting>
  <conditionalFormatting sqref="E7">
    <cfRule type="duplicateValues" dxfId="19" priority="17"/>
  </conditionalFormatting>
  <conditionalFormatting sqref="E8">
    <cfRule type="duplicateValues" dxfId="18" priority="11"/>
  </conditionalFormatting>
  <conditionalFormatting sqref="E10">
    <cfRule type="duplicateValues" dxfId="17" priority="5"/>
  </conditionalFormatting>
  <conditionalFormatting sqref="F2:F3">
    <cfRule type="duplicateValues" dxfId="16" priority="33"/>
  </conditionalFormatting>
  <conditionalFormatting sqref="F5">
    <cfRule type="duplicateValues" dxfId="15" priority="22"/>
  </conditionalFormatting>
  <conditionalFormatting sqref="F7">
    <cfRule type="duplicateValues" dxfId="14" priority="16"/>
  </conditionalFormatting>
  <conditionalFormatting sqref="F8">
    <cfRule type="duplicateValues" dxfId="13" priority="10"/>
  </conditionalFormatting>
  <conditionalFormatting sqref="F10">
    <cfRule type="duplicateValues" dxfId="12" priority="4"/>
  </conditionalFormatting>
  <conditionalFormatting sqref="G2:G3">
    <cfRule type="duplicateValues" dxfId="11" priority="32"/>
  </conditionalFormatting>
  <conditionalFormatting sqref="G5">
    <cfRule type="duplicateValues" dxfId="10" priority="21"/>
  </conditionalFormatting>
  <conditionalFormatting sqref="G7">
    <cfRule type="duplicateValues" dxfId="9" priority="15"/>
  </conditionalFormatting>
  <conditionalFormatting sqref="G8">
    <cfRule type="duplicateValues" dxfId="8" priority="9"/>
  </conditionalFormatting>
  <conditionalFormatting sqref="G10">
    <cfRule type="duplicateValues" dxfId="7" priority="3"/>
  </conditionalFormatting>
  <conditionalFormatting sqref="H2:H3">
    <cfRule type="duplicateValues" dxfId="6" priority="31"/>
  </conditionalFormatting>
  <conditionalFormatting sqref="H5">
    <cfRule type="duplicateValues" dxfId="5" priority="20"/>
  </conditionalFormatting>
  <conditionalFormatting sqref="H7">
    <cfRule type="duplicateValues" dxfId="4" priority="14"/>
  </conditionalFormatting>
  <conditionalFormatting sqref="H8">
    <cfRule type="duplicateValues" dxfId="3" priority="8"/>
  </conditionalFormatting>
  <conditionalFormatting sqref="H10">
    <cfRule type="duplicateValues" dxfId="2" priority="2"/>
  </conditionalFormatting>
  <conditionalFormatting sqref="P4:P6">
    <cfRule type="duplicateValues" dxfId="1" priority="27"/>
  </conditionalFormatting>
  <conditionalFormatting sqref="Q4:Q6">
    <cfRule type="duplicateValues" dxfId="0" priority="2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2025-04-20T07:48:53Z</dcterms:modified>
</cp:coreProperties>
</file>