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git\DC-APS\APS-Modules\aps-monthplan\src\main\resources\excelModel\"/>
    </mc:Choice>
  </mc:AlternateContent>
  <xr:revisionPtr revIDLastSave="0" documentId="13_ncr:1_{5CC51BC4-5F84-4246-87A8-980170A950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月完成率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F3" i="1"/>
  <c r="E35" i="1"/>
  <c r="B35" i="1"/>
  <c r="E34" i="1"/>
  <c r="B34" i="1"/>
</calcChain>
</file>

<file path=xl/sharedStrings.xml><?xml version="1.0" encoding="utf-8"?>
<sst xmlns="http://schemas.openxmlformats.org/spreadsheetml/2006/main" count="196" uniqueCount="129">
  <si>
    <t>月度计划数</t>
  </si>
  <si>
    <t>计划完成数</t>
  </si>
  <si>
    <t>月度完成率</t>
  </si>
  <si>
    <t>月度订单数</t>
  </si>
  <si>
    <t>订单完成数</t>
  </si>
  <si>
    <t>生产完成率</t>
  </si>
  <si>
    <t>单位</t>
  </si>
  <si>
    <t>销售完成率</t>
  </si>
  <si>
    <t>＞160%</t>
  </si>
  <si>
    <t>个</t>
  </si>
  <si>
    <t>100%~110%</t>
  </si>
  <si>
    <t>试制或量试</t>
  </si>
  <si>
    <t>合计</t>
  </si>
  <si>
    <t>达成率</t>
  </si>
  <si>
    <t>%</t>
  </si>
  <si>
    <t>SKU数量</t>
    <phoneticPr fontId="2" type="noConversion"/>
  </si>
  <si>
    <t>{produceSkuCountA}</t>
    <phoneticPr fontId="2" type="noConversion"/>
  </si>
  <si>
    <t>{produceSkuCountB}</t>
    <phoneticPr fontId="2" type="noConversion"/>
  </si>
  <si>
    <t>{produceSkuCountC}</t>
    <phoneticPr fontId="2" type="noConversion"/>
  </si>
  <si>
    <t>{produceSkuCountD}</t>
    <phoneticPr fontId="2" type="noConversion"/>
  </si>
  <si>
    <t>{produceSkuCountE}</t>
    <phoneticPr fontId="2" type="noConversion"/>
  </si>
  <si>
    <t>{produceSkuCountF}</t>
    <phoneticPr fontId="2" type="noConversion"/>
  </si>
  <si>
    <t>{produceSkuCountG}</t>
    <phoneticPr fontId="2" type="noConversion"/>
  </si>
  <si>
    <t>{produceSkuCountH}</t>
    <phoneticPr fontId="2" type="noConversion"/>
  </si>
  <si>
    <t>{produceSkuCountI}</t>
    <phoneticPr fontId="2" type="noConversion"/>
  </si>
  <si>
    <t>{produceSkuCountJ}</t>
    <phoneticPr fontId="2" type="noConversion"/>
  </si>
  <si>
    <t>{produceSkuCountK}</t>
    <phoneticPr fontId="2" type="noConversion"/>
  </si>
  <si>
    <t>{produceSkuCountL}</t>
    <phoneticPr fontId="2" type="noConversion"/>
  </si>
  <si>
    <t>{produceSkuCountM}</t>
    <phoneticPr fontId="2" type="noConversion"/>
  </si>
  <si>
    <t>{produceSkuCountN}</t>
    <phoneticPr fontId="2" type="noConversion"/>
  </si>
  <si>
    <t>{produceSkuCountO}</t>
    <phoneticPr fontId="2" type="noConversion"/>
  </si>
  <si>
    <t>{produceSkuCountP}</t>
    <phoneticPr fontId="2" type="noConversion"/>
  </si>
  <si>
    <t>{produceSkuCountQ}</t>
    <phoneticPr fontId="2" type="noConversion"/>
  </si>
  <si>
    <t>{produceSkuCountR}</t>
    <phoneticPr fontId="2" type="noConversion"/>
  </si>
  <si>
    <t>{produceSkuCountS}</t>
    <phoneticPr fontId="2" type="noConversion"/>
  </si>
  <si>
    <t>{produceSkuCountT}</t>
    <phoneticPr fontId="2" type="noConversion"/>
  </si>
  <si>
    <t>{produceSkuCountU}</t>
    <phoneticPr fontId="2" type="noConversion"/>
  </si>
  <si>
    <t>{produceSkuCountV}</t>
    <phoneticPr fontId="2" type="noConversion"/>
  </si>
  <si>
    <t>{produceSkuCountW}</t>
    <phoneticPr fontId="2" type="noConversion"/>
  </si>
  <si>
    <t>{produceSkuCountX}</t>
    <phoneticPr fontId="2" type="noConversion"/>
  </si>
  <si>
    <t>{produceSkuCountY}</t>
    <phoneticPr fontId="2" type="noConversion"/>
  </si>
  <si>
    <t>{produceSkuCountZ}</t>
    <phoneticPr fontId="2" type="noConversion"/>
  </si>
  <si>
    <t>{produceSkuCountAA}</t>
    <phoneticPr fontId="2" type="noConversion"/>
  </si>
  <si>
    <t>{produceSkuCountAB}</t>
    <phoneticPr fontId="2" type="noConversion"/>
  </si>
  <si>
    <t>{saleSkuCountA}</t>
  </si>
  <si>
    <t>{saleSkuCountB}</t>
  </si>
  <si>
    <t>{saleSkuCountC}</t>
  </si>
  <si>
    <t>{saleSkuCountD}</t>
  </si>
  <si>
    <t>{saleSkuCountE}</t>
  </si>
  <si>
    <t>{saleSkuCountF}</t>
  </si>
  <si>
    <t>{saleSkuCountG}</t>
  </si>
  <si>
    <t>{saleSkuCountH}</t>
  </si>
  <si>
    <t>{saleSkuCountI}</t>
  </si>
  <si>
    <t>{saleSkuCountJ}</t>
  </si>
  <si>
    <t>{saleSkuCountK}</t>
  </si>
  <si>
    <t>{saleSkuCountL}</t>
  </si>
  <si>
    <t>{saleSkuCountM}</t>
  </si>
  <si>
    <t>{saleSkuCountN}</t>
  </si>
  <si>
    <t>{saleSkuCountO}</t>
  </si>
  <si>
    <t>{saleSkuCountP}</t>
  </si>
  <si>
    <t>{saleSkuCountQ}</t>
  </si>
  <si>
    <t>{saleSkuCountR}</t>
  </si>
  <si>
    <t>{saleSkuCountS}</t>
  </si>
  <si>
    <t>{saleSkuCountT}</t>
  </si>
  <si>
    <t>{saleSkuCountU}</t>
  </si>
  <si>
    <t>{saleSkuCountV}</t>
  </si>
  <si>
    <t>{saleSkuCountW}</t>
  </si>
  <si>
    <t>{saleSkuCountX}</t>
  </si>
  <si>
    <t>{saleSkuCountY}</t>
  </si>
  <si>
    <t>{saleSkuCountZ}</t>
  </si>
  <si>
    <t>{saleSkuCountAA}</t>
  </si>
  <si>
    <t>{saleSkuCountAB}</t>
  </si>
  <si>
    <t>{saleSkuCountAC}</t>
  </si>
  <si>
    <t>{producePlanQty}</t>
    <phoneticPr fontId="2" type="noConversion"/>
  </si>
  <si>
    <t>{produceFinishPlanQty}</t>
    <phoneticPr fontId="2" type="noConversion"/>
  </si>
  <si>
    <t>{salePlanQty}</t>
    <phoneticPr fontId="2" type="noConversion"/>
  </si>
  <si>
    <t>{saleFinishPlanQty}</t>
    <phoneticPr fontId="2" type="noConversion"/>
  </si>
  <si>
    <t>{title}</t>
    <phoneticPr fontId="2" type="noConversion"/>
  </si>
  <si>
    <t>{produceSkuCount_sz}</t>
    <phoneticPr fontId="2" type="noConversion"/>
  </si>
  <si>
    <t>0%~5%</t>
    <phoneticPr fontId="2" type="noConversion"/>
  </si>
  <si>
    <t>5%~10%</t>
    <phoneticPr fontId="2" type="noConversion"/>
  </si>
  <si>
    <t>10%~15%</t>
    <phoneticPr fontId="2" type="noConversion"/>
  </si>
  <si>
    <t>15%~20%</t>
  </si>
  <si>
    <t>15%~20%</t>
    <phoneticPr fontId="2" type="noConversion"/>
  </si>
  <si>
    <t>20%~25%</t>
  </si>
  <si>
    <t>20%~25%</t>
    <phoneticPr fontId="2" type="noConversion"/>
  </si>
  <si>
    <t>25%~30%</t>
  </si>
  <si>
    <t>25%~30%</t>
    <phoneticPr fontId="2" type="noConversion"/>
  </si>
  <si>
    <t>30%~35%</t>
  </si>
  <si>
    <t>30%~35%</t>
    <phoneticPr fontId="2" type="noConversion"/>
  </si>
  <si>
    <t>35%~40%</t>
  </si>
  <si>
    <t>35%~40%</t>
    <phoneticPr fontId="2" type="noConversion"/>
  </si>
  <si>
    <t>40%~45%</t>
  </si>
  <si>
    <t>40%~45%</t>
    <phoneticPr fontId="2" type="noConversion"/>
  </si>
  <si>
    <t>45%~50%</t>
  </si>
  <si>
    <t>45%~50%</t>
    <phoneticPr fontId="2" type="noConversion"/>
  </si>
  <si>
    <t>50%~55%</t>
  </si>
  <si>
    <t>50%~55%</t>
    <phoneticPr fontId="2" type="noConversion"/>
  </si>
  <si>
    <t>55%~60%</t>
  </si>
  <si>
    <t>55%~60%</t>
    <phoneticPr fontId="2" type="noConversion"/>
  </si>
  <si>
    <t>60%~65%</t>
  </si>
  <si>
    <t>60%~65%</t>
    <phoneticPr fontId="2" type="noConversion"/>
  </si>
  <si>
    <t>65%~70%</t>
  </si>
  <si>
    <t>65%~70%</t>
    <phoneticPr fontId="2" type="noConversion"/>
  </si>
  <si>
    <t>70%~75%</t>
  </si>
  <si>
    <t>70%~75%</t>
    <phoneticPr fontId="2" type="noConversion"/>
  </si>
  <si>
    <t>75%~80%</t>
  </si>
  <si>
    <t>75%~80%</t>
    <phoneticPr fontId="2" type="noConversion"/>
  </si>
  <si>
    <t>80%~85%</t>
  </si>
  <si>
    <t>80%~85%</t>
    <phoneticPr fontId="2" type="noConversion"/>
  </si>
  <si>
    <t>85%~90%</t>
  </si>
  <si>
    <t>85%~90%</t>
    <phoneticPr fontId="2" type="noConversion"/>
  </si>
  <si>
    <t>90%~95%</t>
  </si>
  <si>
    <t>90%~95%</t>
    <phoneticPr fontId="2" type="noConversion"/>
  </si>
  <si>
    <t>95%~100%</t>
  </si>
  <si>
    <t>95%~100%</t>
    <phoneticPr fontId="2" type="noConversion"/>
  </si>
  <si>
    <t>110%~120%</t>
  </si>
  <si>
    <t>110%~120%</t>
    <phoneticPr fontId="2" type="noConversion"/>
  </si>
  <si>
    <t>120%~130%</t>
  </si>
  <si>
    <t>120%~130%</t>
    <phoneticPr fontId="2" type="noConversion"/>
  </si>
  <si>
    <t>130%~140%</t>
  </si>
  <si>
    <t>130%~140%</t>
    <phoneticPr fontId="2" type="noConversion"/>
  </si>
  <si>
    <t>140%~150%</t>
  </si>
  <si>
    <t>140%~150%</t>
    <phoneticPr fontId="2" type="noConversion"/>
  </si>
  <si>
    <t>150%~160%</t>
  </si>
  <si>
    <t>150%~160%</t>
    <phoneticPr fontId="2" type="noConversion"/>
  </si>
  <si>
    <t>10%~15%</t>
  </si>
  <si>
    <t>5%~10%</t>
  </si>
  <si>
    <t>0%~5%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</si>
</sst>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_ "/>
  </numFmts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黑体"/>
      <family val="3"/>
      <charset val="134"/>
    </font>
    <font>
      <sz val="11"/>
      <color theme="1"/>
      <name val="宋体"/>
      <family val="3"/>
      <charset val="134"/>
    </font>
    <font>
      <sz val="10"/>
      <color theme="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FFCC"/>
        <bgColor indexed="64"/>
      </patternFill>
    </fill>
  </fills>
  <borders count="8">
    <border>
      <left/>
      <right/>
      <top/>
      <bottom/>
      <diagonal/>
    </border>
    <border>
      <left style="thin">
        <color theme="4" tint="0.39991454817346722"/>
      </left>
      <right/>
      <top style="thin">
        <color theme="4" tint="0.39991454817346722"/>
      </top>
      <bottom style="thin">
        <color theme="4" tint="0.39991454817346722"/>
      </bottom>
      <diagonal/>
    </border>
    <border>
      <left/>
      <right/>
      <top style="thin">
        <color theme="4" tint="0.39991454817346722"/>
      </top>
      <bottom style="thin">
        <color theme="4" tint="0.39991454817346722"/>
      </bottom>
      <diagonal/>
    </border>
    <border>
      <left/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 style="medium">
        <color theme="4" tint="0.39991454817346722"/>
      </left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9">
    <xf numFmtId="0" fontId="0" fillId="0" borderId="0" xfId="0"/>
    <xf numFmtId="58" fontId="0" fillId="3" borderId="4" xfId="0" applyNumberFormat="1" applyFill="1" applyBorder="1" applyAlignment="1">
      <alignment horizontal="center"/>
    </xf>
    <xf numFmtId="41" fontId="3" fillId="3" borderId="5" xfId="0" applyNumberFormat="1" applyFont="1" applyFill="1" applyBorder="1" applyAlignment="1">
      <alignment horizontal="center"/>
    </xf>
    <xf numFmtId="176" fontId="4" fillId="4" borderId="6" xfId="0" applyNumberFormat="1" applyFont="1" applyFill="1" applyBorder="1" applyAlignment="1">
      <alignment horizontal="center" vertical="center" wrapText="1"/>
    </xf>
    <xf numFmtId="176" fontId="0" fillId="4" borderId="4" xfId="0" applyNumberFormat="1" applyFill="1" applyBorder="1" applyAlignment="1">
      <alignment horizontal="center"/>
    </xf>
    <xf numFmtId="10" fontId="0" fillId="4" borderId="4" xfId="1" applyNumberFormat="1" applyFont="1" applyFill="1" applyBorder="1" applyAlignment="1">
      <alignment horizontal="center"/>
    </xf>
    <xf numFmtId="10" fontId="3" fillId="4" borderId="5" xfId="1" applyNumberFormat="1" applyFont="1" applyFill="1" applyBorder="1" applyAlignment="1">
      <alignment horizontal="center"/>
    </xf>
    <xf numFmtId="58" fontId="0" fillId="0" borderId="4" xfId="0" applyNumberFormat="1" applyBorder="1" applyAlignment="1">
      <alignment horizontal="center"/>
    </xf>
    <xf numFmtId="0" fontId="5" fillId="5" borderId="7" xfId="0" applyFont="1" applyFill="1" applyBorder="1" applyAlignment="1">
      <alignment horizontal="center" vertical="center"/>
    </xf>
    <xf numFmtId="58" fontId="5" fillId="0" borderId="4" xfId="0" applyNumberFormat="1" applyFont="1" applyBorder="1" applyAlignment="1">
      <alignment horizontal="center"/>
    </xf>
    <xf numFmtId="41" fontId="6" fillId="0" borderId="5" xfId="0" applyNumberFormat="1" applyFont="1" applyBorder="1" applyAlignment="1">
      <alignment horizontal="center"/>
    </xf>
    <xf numFmtId="41" fontId="3" fillId="0" borderId="5" xfId="0" applyNumberFormat="1" applyFont="1" applyBorder="1" applyAlignment="1">
      <alignment horizontal="center"/>
    </xf>
    <xf numFmtId="58" fontId="5" fillId="3" borderId="4" xfId="0" applyNumberFormat="1" applyFont="1" applyFill="1" applyBorder="1" applyAlignment="1">
      <alignment horizontal="center"/>
    </xf>
    <xf numFmtId="41" fontId="6" fillId="3" borderId="5" xfId="0" applyNumberFormat="1" applyFont="1" applyFill="1" applyBorder="1" applyAlignment="1">
      <alignment horizontal="center"/>
    </xf>
    <xf numFmtId="9" fontId="0" fillId="3" borderId="4" xfId="0" applyNumberFormat="1" applyFill="1" applyBorder="1" applyAlignment="1">
      <alignment horizontal="center"/>
    </xf>
    <xf numFmtId="10" fontId="5" fillId="5" borderId="7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C4" sqref="C4"/>
    </sheetView>
  </sheetViews>
  <sheetFormatPr defaultRowHeight="13.8" x14ac:dyDescent="0.25"/>
  <cols>
    <col min="1" max="1" width="12.21875" bestFit="1" customWidth="1"/>
    <col min="2" max="2" width="17.5546875" customWidth="1"/>
    <col min="3" max="3" width="12.21875" bestFit="1" customWidth="1"/>
    <col min="4" max="4" width="12.77734375" bestFit="1" customWidth="1"/>
    <col min="5" max="5" width="16.21875" customWidth="1"/>
    <col min="6" max="6" width="12.33203125" bestFit="1" customWidth="1"/>
  </cols>
  <sheetData>
    <row r="1" spans="1:6" x14ac:dyDescent="0.25">
      <c r="A1" s="16" t="s">
        <v>77</v>
      </c>
      <c r="B1" s="17"/>
      <c r="C1" s="17"/>
      <c r="D1" s="17"/>
      <c r="E1" s="17"/>
      <c r="F1" s="18"/>
    </row>
    <row r="2" spans="1:6" ht="14.4" thickBot="1" x14ac:dyDescent="0.3">
      <c r="A2" s="1" t="s">
        <v>0</v>
      </c>
      <c r="B2" s="2" t="s">
        <v>1</v>
      </c>
      <c r="C2" s="1" t="s">
        <v>2</v>
      </c>
      <c r="D2" s="2" t="s">
        <v>3</v>
      </c>
      <c r="E2" s="1" t="s">
        <v>4</v>
      </c>
      <c r="F2" s="2" t="s">
        <v>2</v>
      </c>
    </row>
    <row r="3" spans="1:6" ht="24" x14ac:dyDescent="0.25">
      <c r="A3" s="3" t="s">
        <v>73</v>
      </c>
      <c r="B3" s="4" t="s">
        <v>74</v>
      </c>
      <c r="C3" s="5">
        <f>IFERROR(B3/A3, 0)</f>
        <v>0</v>
      </c>
      <c r="D3" s="4" t="s">
        <v>75</v>
      </c>
      <c r="E3" s="4" t="s">
        <v>76</v>
      </c>
      <c r="F3" s="6">
        <f>IFERROR(E3/D3, 0)</f>
        <v>0</v>
      </c>
    </row>
    <row r="4" spans="1:6" x14ac:dyDescent="0.25">
      <c r="A4" s="1" t="s">
        <v>5</v>
      </c>
      <c r="B4" s="2" t="s">
        <v>15</v>
      </c>
      <c r="C4" s="1" t="s">
        <v>6</v>
      </c>
      <c r="D4" s="2" t="s">
        <v>7</v>
      </c>
      <c r="E4" s="1" t="s">
        <v>15</v>
      </c>
      <c r="F4" s="2" t="s">
        <v>6</v>
      </c>
    </row>
    <row r="5" spans="1:6" ht="14.4" x14ac:dyDescent="0.25">
      <c r="A5" s="7" t="s">
        <v>8</v>
      </c>
      <c r="B5" s="8" t="s">
        <v>16</v>
      </c>
      <c r="C5" s="9" t="s">
        <v>9</v>
      </c>
      <c r="D5" s="10" t="s">
        <v>8</v>
      </c>
      <c r="E5" s="8" t="s">
        <v>44</v>
      </c>
      <c r="F5" s="11" t="s">
        <v>9</v>
      </c>
    </row>
    <row r="6" spans="1:6" ht="14.4" x14ac:dyDescent="0.25">
      <c r="A6" s="1" t="s">
        <v>125</v>
      </c>
      <c r="B6" s="8" t="s">
        <v>17</v>
      </c>
      <c r="C6" s="12" t="s">
        <v>9</v>
      </c>
      <c r="D6" s="13" t="s">
        <v>124</v>
      </c>
      <c r="E6" s="8" t="s">
        <v>45</v>
      </c>
      <c r="F6" s="2" t="s">
        <v>9</v>
      </c>
    </row>
    <row r="7" spans="1:6" ht="14.4" x14ac:dyDescent="0.25">
      <c r="A7" s="7" t="s">
        <v>123</v>
      </c>
      <c r="B7" s="8" t="s">
        <v>18</v>
      </c>
      <c r="C7" s="9" t="s">
        <v>9</v>
      </c>
      <c r="D7" s="10" t="s">
        <v>122</v>
      </c>
      <c r="E7" s="8" t="s">
        <v>46</v>
      </c>
      <c r="F7" s="11" t="s">
        <v>9</v>
      </c>
    </row>
    <row r="8" spans="1:6" ht="14.4" x14ac:dyDescent="0.25">
      <c r="A8" s="1" t="s">
        <v>121</v>
      </c>
      <c r="B8" s="8" t="s">
        <v>19</v>
      </c>
      <c r="C8" s="12" t="s">
        <v>9</v>
      </c>
      <c r="D8" s="13" t="s">
        <v>120</v>
      </c>
      <c r="E8" s="8" t="s">
        <v>47</v>
      </c>
      <c r="F8" s="2" t="s">
        <v>9</v>
      </c>
    </row>
    <row r="9" spans="1:6" ht="14.4" x14ac:dyDescent="0.25">
      <c r="A9" s="7" t="s">
        <v>119</v>
      </c>
      <c r="B9" s="8" t="s">
        <v>20</v>
      </c>
      <c r="C9" s="9" t="s">
        <v>9</v>
      </c>
      <c r="D9" s="10" t="s">
        <v>118</v>
      </c>
      <c r="E9" s="8" t="s">
        <v>48</v>
      </c>
      <c r="F9" s="11" t="s">
        <v>9</v>
      </c>
    </row>
    <row r="10" spans="1:6" ht="14.4" x14ac:dyDescent="0.25">
      <c r="A10" s="1" t="s">
        <v>117</v>
      </c>
      <c r="B10" s="8" t="s">
        <v>21</v>
      </c>
      <c r="C10" s="12" t="s">
        <v>9</v>
      </c>
      <c r="D10" s="13" t="s">
        <v>116</v>
      </c>
      <c r="E10" s="8" t="s">
        <v>49</v>
      </c>
      <c r="F10" s="2" t="s">
        <v>9</v>
      </c>
    </row>
    <row r="11" spans="1:6" ht="14.4" x14ac:dyDescent="0.25">
      <c r="A11" s="7" t="s">
        <v>10</v>
      </c>
      <c r="B11" s="8" t="s">
        <v>22</v>
      </c>
      <c r="C11" s="9" t="s">
        <v>9</v>
      </c>
      <c r="D11" s="10" t="s">
        <v>10</v>
      </c>
      <c r="E11" s="8" t="s">
        <v>50</v>
      </c>
      <c r="F11" s="11" t="s">
        <v>9</v>
      </c>
    </row>
    <row r="12" spans="1:6" ht="14.4" x14ac:dyDescent="0.25">
      <c r="A12" s="1" t="s">
        <v>115</v>
      </c>
      <c r="B12" s="8" t="s">
        <v>23</v>
      </c>
      <c r="C12" s="12" t="s">
        <v>9</v>
      </c>
      <c r="D12" s="13" t="s">
        <v>114</v>
      </c>
      <c r="E12" s="8" t="s">
        <v>51</v>
      </c>
      <c r="F12" s="2" t="s">
        <v>9</v>
      </c>
    </row>
    <row r="13" spans="1:6" ht="14.4" x14ac:dyDescent="0.25">
      <c r="A13" s="7" t="s">
        <v>113</v>
      </c>
      <c r="B13" s="8" t="s">
        <v>24</v>
      </c>
      <c r="C13" s="9" t="s">
        <v>9</v>
      </c>
      <c r="D13" s="10" t="s">
        <v>112</v>
      </c>
      <c r="E13" s="8" t="s">
        <v>52</v>
      </c>
      <c r="F13" s="11" t="s">
        <v>9</v>
      </c>
    </row>
    <row r="14" spans="1:6" ht="14.4" x14ac:dyDescent="0.25">
      <c r="A14" s="1" t="s">
        <v>111</v>
      </c>
      <c r="B14" s="8" t="s">
        <v>25</v>
      </c>
      <c r="C14" s="12" t="s">
        <v>9</v>
      </c>
      <c r="D14" s="13" t="s">
        <v>110</v>
      </c>
      <c r="E14" s="8" t="s">
        <v>53</v>
      </c>
      <c r="F14" s="2" t="s">
        <v>9</v>
      </c>
    </row>
    <row r="15" spans="1:6" ht="14.4" x14ac:dyDescent="0.25">
      <c r="A15" s="7" t="s">
        <v>109</v>
      </c>
      <c r="B15" s="8" t="s">
        <v>26</v>
      </c>
      <c r="C15" s="9" t="s">
        <v>9</v>
      </c>
      <c r="D15" s="10" t="s">
        <v>108</v>
      </c>
      <c r="E15" s="8" t="s">
        <v>54</v>
      </c>
      <c r="F15" s="11" t="s">
        <v>9</v>
      </c>
    </row>
    <row r="16" spans="1:6" ht="14.4" x14ac:dyDescent="0.25">
      <c r="A16" s="1" t="s">
        <v>107</v>
      </c>
      <c r="B16" s="8" t="s">
        <v>27</v>
      </c>
      <c r="C16" s="12" t="s">
        <v>9</v>
      </c>
      <c r="D16" s="13" t="s">
        <v>106</v>
      </c>
      <c r="E16" s="8" t="s">
        <v>55</v>
      </c>
      <c r="F16" s="2" t="s">
        <v>9</v>
      </c>
    </row>
    <row r="17" spans="1:6" ht="14.4" x14ac:dyDescent="0.25">
      <c r="A17" s="7" t="s">
        <v>105</v>
      </c>
      <c r="B17" s="8" t="s">
        <v>28</v>
      </c>
      <c r="C17" s="9" t="s">
        <v>9</v>
      </c>
      <c r="D17" s="10" t="s">
        <v>104</v>
      </c>
      <c r="E17" s="8" t="s">
        <v>56</v>
      </c>
      <c r="F17" s="11" t="s">
        <v>9</v>
      </c>
    </row>
    <row r="18" spans="1:6" ht="14.4" x14ac:dyDescent="0.25">
      <c r="A18" s="1" t="s">
        <v>103</v>
      </c>
      <c r="B18" s="8" t="s">
        <v>29</v>
      </c>
      <c r="C18" s="12" t="s">
        <v>9</v>
      </c>
      <c r="D18" s="13" t="s">
        <v>102</v>
      </c>
      <c r="E18" s="8" t="s">
        <v>57</v>
      </c>
      <c r="F18" s="2" t="s">
        <v>9</v>
      </c>
    </row>
    <row r="19" spans="1:6" ht="14.4" x14ac:dyDescent="0.25">
      <c r="A19" s="7" t="s">
        <v>101</v>
      </c>
      <c r="B19" s="8" t="s">
        <v>30</v>
      </c>
      <c r="C19" s="9" t="s">
        <v>9</v>
      </c>
      <c r="D19" s="10" t="s">
        <v>100</v>
      </c>
      <c r="E19" s="8" t="s">
        <v>58</v>
      </c>
      <c r="F19" s="11" t="s">
        <v>9</v>
      </c>
    </row>
    <row r="20" spans="1:6" ht="14.4" x14ac:dyDescent="0.25">
      <c r="A20" s="1" t="s">
        <v>99</v>
      </c>
      <c r="B20" s="8" t="s">
        <v>31</v>
      </c>
      <c r="C20" s="12" t="s">
        <v>9</v>
      </c>
      <c r="D20" s="13" t="s">
        <v>98</v>
      </c>
      <c r="E20" s="8" t="s">
        <v>59</v>
      </c>
      <c r="F20" s="2" t="s">
        <v>9</v>
      </c>
    </row>
    <row r="21" spans="1:6" ht="14.4" x14ac:dyDescent="0.25">
      <c r="A21" s="7" t="s">
        <v>97</v>
      </c>
      <c r="B21" s="8" t="s">
        <v>32</v>
      </c>
      <c r="C21" s="9" t="s">
        <v>9</v>
      </c>
      <c r="D21" s="10" t="s">
        <v>96</v>
      </c>
      <c r="E21" s="8" t="s">
        <v>60</v>
      </c>
      <c r="F21" s="11" t="s">
        <v>9</v>
      </c>
    </row>
    <row r="22" spans="1:6" ht="14.4" x14ac:dyDescent="0.25">
      <c r="A22" s="1" t="s">
        <v>95</v>
      </c>
      <c r="B22" s="8" t="s">
        <v>33</v>
      </c>
      <c r="C22" s="12" t="s">
        <v>9</v>
      </c>
      <c r="D22" s="13" t="s">
        <v>94</v>
      </c>
      <c r="E22" s="8" t="s">
        <v>61</v>
      </c>
      <c r="F22" s="2" t="s">
        <v>9</v>
      </c>
    </row>
    <row r="23" spans="1:6" ht="14.4" x14ac:dyDescent="0.25">
      <c r="A23" s="7" t="s">
        <v>93</v>
      </c>
      <c r="B23" s="8" t="s">
        <v>34</v>
      </c>
      <c r="C23" s="9" t="s">
        <v>9</v>
      </c>
      <c r="D23" s="10" t="s">
        <v>92</v>
      </c>
      <c r="E23" s="8" t="s">
        <v>62</v>
      </c>
      <c r="F23" s="11" t="s">
        <v>9</v>
      </c>
    </row>
    <row r="24" spans="1:6" ht="14.4" x14ac:dyDescent="0.25">
      <c r="A24" s="1" t="s">
        <v>91</v>
      </c>
      <c r="B24" s="8" t="s">
        <v>35</v>
      </c>
      <c r="C24" s="12" t="s">
        <v>9</v>
      </c>
      <c r="D24" s="13" t="s">
        <v>90</v>
      </c>
      <c r="E24" s="8" t="s">
        <v>63</v>
      </c>
      <c r="F24" s="2" t="s">
        <v>9</v>
      </c>
    </row>
    <row r="25" spans="1:6" ht="14.4" x14ac:dyDescent="0.25">
      <c r="A25" s="7" t="s">
        <v>89</v>
      </c>
      <c r="B25" s="8" t="s">
        <v>36</v>
      </c>
      <c r="C25" s="9" t="s">
        <v>9</v>
      </c>
      <c r="D25" s="10" t="s">
        <v>88</v>
      </c>
      <c r="E25" s="8" t="s">
        <v>64</v>
      </c>
      <c r="F25" s="11" t="s">
        <v>9</v>
      </c>
    </row>
    <row r="26" spans="1:6" ht="14.4" x14ac:dyDescent="0.25">
      <c r="A26" s="1" t="s">
        <v>87</v>
      </c>
      <c r="B26" s="8" t="s">
        <v>37</v>
      </c>
      <c r="C26" s="12" t="s">
        <v>9</v>
      </c>
      <c r="D26" s="13" t="s">
        <v>86</v>
      </c>
      <c r="E26" s="8" t="s">
        <v>65</v>
      </c>
      <c r="F26" s="2" t="s">
        <v>9</v>
      </c>
    </row>
    <row r="27" spans="1:6" ht="14.4" x14ac:dyDescent="0.25">
      <c r="A27" s="7" t="s">
        <v>85</v>
      </c>
      <c r="B27" s="8" t="s">
        <v>38</v>
      </c>
      <c r="C27" s="9" t="s">
        <v>9</v>
      </c>
      <c r="D27" s="10" t="s">
        <v>84</v>
      </c>
      <c r="E27" s="8" t="s">
        <v>66</v>
      </c>
      <c r="F27" s="11" t="s">
        <v>9</v>
      </c>
    </row>
    <row r="28" spans="1:6" ht="14.4" x14ac:dyDescent="0.25">
      <c r="A28" s="1" t="s">
        <v>83</v>
      </c>
      <c r="B28" s="8" t="s">
        <v>39</v>
      </c>
      <c r="C28" s="12" t="s">
        <v>9</v>
      </c>
      <c r="D28" s="13" t="s">
        <v>82</v>
      </c>
      <c r="E28" s="8" t="s">
        <v>67</v>
      </c>
      <c r="F28" s="2" t="s">
        <v>9</v>
      </c>
    </row>
    <row r="29" spans="1:6" ht="14.4" x14ac:dyDescent="0.25">
      <c r="A29" s="7" t="s">
        <v>81</v>
      </c>
      <c r="B29" s="8" t="s">
        <v>40</v>
      </c>
      <c r="C29" s="9" t="s">
        <v>9</v>
      </c>
      <c r="D29" s="10" t="s">
        <v>126</v>
      </c>
      <c r="E29" s="8" t="s">
        <v>68</v>
      </c>
      <c r="F29" s="11" t="s">
        <v>9</v>
      </c>
    </row>
    <row r="30" spans="1:6" ht="14.4" x14ac:dyDescent="0.25">
      <c r="A30" s="1" t="s">
        <v>80</v>
      </c>
      <c r="B30" s="8" t="s">
        <v>41</v>
      </c>
      <c r="C30" s="12" t="s">
        <v>9</v>
      </c>
      <c r="D30" s="13" t="s">
        <v>127</v>
      </c>
      <c r="E30" s="8" t="s">
        <v>69</v>
      </c>
      <c r="F30" s="2" t="s">
        <v>9</v>
      </c>
    </row>
    <row r="31" spans="1:6" ht="14.4" x14ac:dyDescent="0.25">
      <c r="A31" s="7" t="s">
        <v>79</v>
      </c>
      <c r="B31" s="8" t="s">
        <v>42</v>
      </c>
      <c r="C31" s="9" t="s">
        <v>9</v>
      </c>
      <c r="D31" s="10" t="s">
        <v>128</v>
      </c>
      <c r="E31" s="8" t="s">
        <v>70</v>
      </c>
      <c r="F31" s="11" t="s">
        <v>9</v>
      </c>
    </row>
    <row r="32" spans="1:6" ht="14.4" x14ac:dyDescent="0.25">
      <c r="A32" s="14">
        <v>0</v>
      </c>
      <c r="B32" s="8" t="s">
        <v>43</v>
      </c>
      <c r="C32" s="12" t="s">
        <v>9</v>
      </c>
      <c r="D32" s="14">
        <v>0</v>
      </c>
      <c r="E32" s="8" t="s">
        <v>71</v>
      </c>
      <c r="F32" s="2" t="s">
        <v>9</v>
      </c>
    </row>
    <row r="33" spans="1:6" ht="14.4" x14ac:dyDescent="0.25">
      <c r="A33" s="7" t="s">
        <v>11</v>
      </c>
      <c r="B33" s="8" t="s">
        <v>78</v>
      </c>
      <c r="C33" s="9" t="s">
        <v>9</v>
      </c>
      <c r="D33" s="10"/>
      <c r="E33" s="8" t="s">
        <v>72</v>
      </c>
      <c r="F33" s="11" t="s">
        <v>9</v>
      </c>
    </row>
    <row r="34" spans="1:6" ht="14.4" x14ac:dyDescent="0.25">
      <c r="A34" s="1" t="s">
        <v>12</v>
      </c>
      <c r="B34" s="8">
        <f>SUM(B5:B33)</f>
        <v>0</v>
      </c>
      <c r="C34" s="12" t="s">
        <v>9</v>
      </c>
      <c r="D34" s="13" t="s">
        <v>12</v>
      </c>
      <c r="E34" s="8">
        <f>SUM(E5:E33)</f>
        <v>0</v>
      </c>
      <c r="F34" s="2" t="s">
        <v>9</v>
      </c>
    </row>
    <row r="35" spans="1:6" ht="14.4" x14ac:dyDescent="0.25">
      <c r="A35" s="7" t="s">
        <v>13</v>
      </c>
      <c r="B35" s="15">
        <f>IFERROR(B3/A3, 0)</f>
        <v>0</v>
      </c>
      <c r="C35" s="9" t="s">
        <v>14</v>
      </c>
      <c r="D35" s="10" t="s">
        <v>13</v>
      </c>
      <c r="E35" s="15">
        <f>IFERROR(E3/D3, 0)</f>
        <v>0</v>
      </c>
      <c r="F35" s="11" t="s">
        <v>14</v>
      </c>
    </row>
  </sheetData>
  <mergeCells count="1">
    <mergeCell ref="A1: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月完成率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HEN C</cp:lastModifiedBy>
  <dcterms:created xsi:type="dcterms:W3CDTF">2015-06-05T18:19:34Z</dcterms:created>
  <dcterms:modified xsi:type="dcterms:W3CDTF">2025-04-11T06:48:10Z</dcterms:modified>
</cp:coreProperties>
</file>