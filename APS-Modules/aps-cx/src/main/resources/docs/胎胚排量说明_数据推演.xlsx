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胎胚排量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<sst xmlns="http://schemas.openxmlformats.org/spreadsheetml/2006/main" count="527" uniqueCount="160">
  <si>
    <t>成型排产算法 - 胎胚排量计算说明</t>
  </si>
  <si>
    <t>基于2026-05-06排程日志，排程3天8班次（5月4日早班~5月6日中班），工厂116（代码调整后最新运行数据）</t>
  </si>
  <si>
    <t>一、排量计算总流程</t>
  </si>
  <si>
    <t>Step 1</t>
  </si>
  <si>
    <t>获取硫化需求</t>
  </si>
  <si>
    <t>从硫化排程获取：该胎胚在该机台上的硫化计划量（vulcanizeDemand），单位：条</t>
  </si>
  <si>
    <t>Step 2</t>
  </si>
  <si>
    <t>减去当前库存 × 损耗率</t>
  </si>
  <si>
    <t>净需求 = max(0, 硫化需求-当前库存) × (1+损耗率2%)，向下取整。
库存来自MES实时数据。损耗率从T_CX_PARAM_CONFIG读取(LOSS_RATE=0.02)。
成型余量&lt;=0跳过排产</t>
  </si>
  <si>
    <t>Step 3</t>
  </si>
  <si>
    <t>计算成型余量</t>
  </si>
  <si>
    <t>成型余量 = MdmMonthSurplus.planSurplusQty(物料硫化余量) - 物料库存汇总。
通过ScheduleServiceImpl.calculateFormingRemainderMap计算，存于formingRemainderMap。
每班排产后从物料维度扣减已排量</t>
  </si>
  <si>
    <t>Step 4</t>
  </si>
  <si>
    <t>整车取整</t>
  </si>
  <si>
    <t>损耗后的需求量按整车容量向上取整(roundToVehicle)。
如 netDemand=16→×1.02=16.32→ceil=17→整车取整=20条(2车)</t>
  </si>
  <si>
    <t>Step 5</t>
  </si>
  <si>
    <t>计划量关键约束</t>
  </si>
  <si>
    <t xml:space="preserve">- **必须约束 1：不超过当前任务剩余收尾量
- **必须约束 2：按硫化消耗换算后不超过 可以供硫化时长 6 小时产能
- **非必须约束 1：库存能满足就补到，可供硫化时长 6 小时产能，防止下个班是0库存
- **非必须约束 2：库存不能满足就，按照“硫化净需求”推算整车下
- **非必须约束 3：当天计划量 &gt;= 剩余成型余量
                             非主销产品 收尾余量 ≤ 2 条 → **舍弃不排产（plannedProduction=0） 
                             非主销产品 收尾余量 &gt; 2 条 → **按实际量下，不补车 主销产品 不够一车则 补足到一车
- **非必须约束 4：试制/量试 不补整车，实际需求量是多少就排多少，不够一车也算1车 </t>
  </si>
  <si>
    <t>Step 6</t>
  </si>
  <si>
    <t>停产封顶</t>
  </si>
  <si>
    <t>明天停产时，根据停锅时间反推今天最多需多少胎胚，取min(反推需求,正常需求)封顶</t>
  </si>
  <si>
    <t>Step 7</t>
  </si>
  <si>
    <t>余量扣减</t>
  </si>
  <si>
    <t>排产后从成型余量中扣减已排量。下个班次余量 = 上班余量 - 已排量</t>
  </si>
  <si>
    <t>Step 8</t>
  </si>
  <si>
    <t>跨班分配</t>
  </si>
  <si>
    <t>同一胎胚可能有多个物料(不同施工阶段)，各物料独立计算排量，但共享成型余量</t>
  </si>
  <si>
    <t>二、胎胚215101335 排量详解</t>
  </si>
  <si>
    <t>胎胚编码</t>
  </si>
  <si>
    <t>结构</t>
  </si>
  <si>
    <t>315/70R22.5</t>
  </si>
  <si>
    <t>日硫化量(双模)</t>
  </si>
  <si>
    <t>48条/天（standardCapacity=48，双模）</t>
  </si>
  <si>
    <t>单模日硫化量</t>
  </si>
  <si>
    <t>24条/天（48÷2=24）</t>
  </si>
  <si>
    <t>模数</t>
  </si>
  <si>
    <t>2</t>
  </si>
  <si>
    <t>整车容量</t>
  </si>
  <si>
    <t>10条/车</t>
  </si>
  <si>
    <t>物料1</t>
  </si>
  <si>
    <t>3302000465 (施工阶段03-正式)</t>
  </si>
  <si>
    <t>物料2</t>
  </si>
  <si>
    <t>3302002705 (施工阶段01-正式)</t>
  </si>
  <si>
    <t>日硫化量</t>
  </si>
  <si>
    <t>一天总秒</t>
  </si>
  <si>
    <t>一条需要的秒数</t>
  </si>
  <si>
    <t>配比</t>
  </si>
  <si>
    <t>物料3302000465（施工阶段03-正式）</t>
  </si>
  <si>
    <t>班次</t>
  </si>
  <si>
    <t>日期</t>
  </si>
  <si>
    <t>时段</t>
  </si>
  <si>
    <t>硫化需求
(条)</t>
  </si>
  <si>
    <t>当前库存
(条)</t>
  </si>
  <si>
    <t>净需求
(硫化-库存)×(1+2%)</t>
  </si>
  <si>
    <t>库存可供时长
(公式:库存×单胎硫化时长/模数/3600)</t>
  </si>
  <si>
    <t>排产量
(条)</t>
  </si>
  <si>
    <t>整车数</t>
  </si>
  <si>
    <t>成型余量</t>
  </si>
  <si>
    <t>生产耗时
(产量/小时产能)</t>
  </si>
  <si>
    <t>备注</t>
  </si>
  <si>
    <t>班次1</t>
  </si>
  <si>
    <t>5月4日</t>
  </si>
  <si>
    <t>早06:00-14:00</t>
  </si>
  <si>
    <t>14→×1.02=15</t>
  </si>
  <si>
    <t>库存2×3600s/(2模×3600)=1.00h</t>
  </si>
  <si>
    <t>20条÷16条/h=1.25h</t>
  </si>
  <si>
    <t>续作任务（DAY_D1, H1301机台, MES在机保底预留）</t>
  </si>
  <si>
    <t>班次2</t>
  </si>
  <si>
    <t>中14:00-22:00</t>
  </si>
  <si>
    <t>10→×1.02=11</t>
  </si>
  <si>
    <t>库存6×3600s/(2模×3600)=3.00h</t>
  </si>
  <si>
    <t>续作（AFTERNOON_D1）</t>
  </si>
  <si>
    <t>班次3</t>
  </si>
  <si>
    <t>5月5日</t>
  </si>
  <si>
    <t>夜22:00-06:00</t>
  </si>
  <si>
    <t>11→×1.02=12</t>
  </si>
  <si>
    <t>库存5×3600s/(2模×3600)=2.50h</t>
  </si>
  <si>
    <t>续作（NIGHT_D2, 1车）</t>
  </si>
  <si>
    <t>成型一天总产能</t>
  </si>
  <si>
    <t>1小时秒数</t>
  </si>
  <si>
    <t>一小时产能（条）</t>
  </si>
  <si>
    <t>班次4</t>
  </si>
  <si>
    <t>7→×1.02=8</t>
  </si>
  <si>
    <t>库存9×3600s/(2模×3600)=4.50h</t>
  </si>
  <si>
    <t>10条÷16条/h=0.62h</t>
  </si>
  <si>
    <t>续作（DAY_D2）</t>
  </si>
  <si>
    <t>班次5</t>
  </si>
  <si>
    <t>13→×1.02=14</t>
  </si>
  <si>
    <t>库存3×3600s/(2模×3600)=1.50h</t>
  </si>
  <si>
    <t>续作（AFTERNOON_D2）</t>
  </si>
  <si>
    <t>班次6</t>
  </si>
  <si>
    <t>9→×1.02=10</t>
  </si>
  <si>
    <t>库存7×3600s/(2模×3600)=3.50h</t>
  </si>
  <si>
    <t>续作（NIGHT_D3, 1车）</t>
  </si>
  <si>
    <t>胎胚（共用）</t>
  </si>
  <si>
    <t>期初库存</t>
  </si>
  <si>
    <t>物料</t>
  </si>
  <si>
    <t>分配库存</t>
  </si>
  <si>
    <t>第一班成型产出</t>
  </si>
  <si>
    <t>第一班硫化消耗</t>
  </si>
  <si>
    <t>二期的期初库存</t>
  </si>
  <si>
    <t>二班分配库存</t>
  </si>
  <si>
    <t>班次7</t>
  </si>
  <si>
    <t>5月6日</t>
  </si>
  <si>
    <t>15→×1.02=16</t>
  </si>
  <si>
    <t>库存1×3600s/(2模×3600)=0.50h</t>
  </si>
  <si>
    <t>续作（DAY_D3）</t>
  </si>
  <si>
    <t>班次8</t>
  </si>
  <si>
    <t>续作（AFTERNOON_D3, 1车）</t>
  </si>
  <si>
    <t>物料3302002705（施工阶段01-正式）</t>
  </si>
  <si>
    <t>库存可供时长
(公式:库存×单模秒/模数/3600)</t>
  </si>
  <si>
    <t>新增任务（DAY_D1, H1301, 同胎胚0465）</t>
  </si>
  <si>
    <t>新增（AFTERNOON_D1, 同机台）</t>
  </si>
  <si>
    <t>新增（NIGHT_D2, 1车）</t>
  </si>
  <si>
    <t>6→×1.02=7</t>
  </si>
  <si>
    <t>库存10×3600s/(2模×3600)=5.00h</t>
  </si>
  <si>
    <t>新增（DAY_D2）</t>
  </si>
  <si>
    <t>12→×1.02=13</t>
  </si>
  <si>
    <t>库存4×3600s/(2模×3600)=2.00h</t>
  </si>
  <si>
    <t>新增（AFTERNOON_D2）</t>
  </si>
  <si>
    <t>8→×1.02=9</t>
  </si>
  <si>
    <t>库存8×3600s/(2模×3600)=4.00h</t>
  </si>
  <si>
    <t>新增（NIGHT_D3, 1车）</t>
  </si>
  <si>
    <t>新增（DAY_D3）</t>
  </si>
  <si>
    <t>新增（AFTERNOON_D3, 1车）</t>
  </si>
  <si>
    <t>计算要点说明（来自最新日志）：</t>
  </si>
  <si>
    <t>1. 硫化需求=16：硫化排程每天需要16条胎胚供应硫化机，每个物料独立计算</t>
  </si>
  <si>
    <t>2. 当前库存=该班次开始时的物料分配库存（共用胎胚按日硫化量比例从总库存中分配）</t>
  </si>
  <si>
    <t>3. 净需求=硫化需求-库存→×1.02：班次1：16-0=16→×1.02=16.32→ceil=17→整车取整=20</t>
  </si>
  <si>
    <t>4. 整车取整：损耗后需求量按整车容量(10条/车)向上取整到整数车</t>
  </si>
  <si>
    <t>5. 库存可供时长=库存×(86400/(日硫/2))/模数/3600 = 库存×3600/2/3600 = 库存/2</t>
  </si>
  <si>
    <t>6. 两个物料各从独立余量扣减：0465=4270→...(扣120), 2705=1197→...(扣117)</t>
  </si>
  <si>
    <t>7. 物料0465是MES在机任务（H1301），全8班续作；2705全8班均为新增任务</t>
  </si>
  <si>
    <t>8. 波浪分配规律：每班车数差≤1，交替分配。生产耗时=产量/16条/h</t>
  </si>
  <si>
    <t>三、胎胚215102631 排量详解</t>
  </si>
  <si>
    <t>3302001589 (施工阶段03-正式)</t>
  </si>
  <si>
    <t>3302001591 (施工阶段03-正式)</t>
  </si>
  <si>
    <t>物料3</t>
  </si>
  <si>
    <t>3302001716 (施工阶段03-正式)</t>
  </si>
  <si>
    <t>物料3302001589（施工阶段03-正式）</t>
  </si>
  <si>
    <t>16→×1.02=17</t>
  </si>
  <si>
    <t>库存0×3600s/(2模×3600)=0.00h</t>
  </si>
  <si>
    <t>续作任务（DAY_D1, H1203机台, MES在机）</t>
  </si>
  <si>
    <t>物料3302001591（施工阶段03-正式）</t>
  </si>
  <si>
    <t>新增任务（DAY_D1, H1203, 同胎胚1589）</t>
  </si>
  <si>
    <t>物料3302001716（施工阶段03-正式）</t>
  </si>
  <si>
    <t>215102631三个物料并行排产说明（来自最新日志）：</t>
  </si>
  <si>
    <t>胎胚215102631在H1203机台同时排3个物料(1589/1591/1716)，共享胎胚库存</t>
  </si>
  <si>
    <t>每个物料独立计算净需求（硫化需求=16），库存按日硫化量比例分配</t>
  </si>
  <si>
    <t>班次1：3物料各排20条=共60条。1589(MES在机)为续作，1591/1716为新增随同机台</t>
  </si>
  <si>
    <t>3物料每班排量同趋势，波浪分配交替进行</t>
  </si>
  <si>
    <t>3物料初始余量：1589=1440, 1591=1200, 1716=672（各独立扣减）</t>
  </si>
  <si>
    <t>四、胎胚215101336 排量详解</t>
  </si>
  <si>
    <t>215101336</t>
  </si>
  <si>
    <t>3302000466 (施工阶段03-正式)</t>
  </si>
  <si>
    <t>物料3302000466（施工阶段03-正式）</t>
  </si>
  <si>
    <t>新增任务（DAY_D1, H1203机台）</t>
  </si>
  <si>
    <t>单物料排产说明（215101336/3302000466，来自最新日志）：</t>
  </si>
  <si>
    <t>该胎胚仅1个物料，排产逻辑最简单。班次1为新增任务（DAY_D1, H1203）</t>
  </si>
  <si>
    <t>初始库存=3条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</si>
</sst>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i/>
      <sz val="10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color rgb="FF1A5276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6EAF8"/>
        <bgColor rgb="FFD6EAF8"/>
      </patternFill>
    </fill>
    <fill>
      <patternFill patternType="solid">
        <fgColor rgb="FF00B0F0"/>
        <bgColor indexed="64"/>
      </patternFill>
    </fill>
    <fill>
      <patternFill patternType="solid">
        <fgColor rgb="FFEBF5FB"/>
        <bgColor rgb="FFEBF5FB"/>
      </patternFill>
    </fill>
    <fill>
      <patternFill patternType="solid">
        <fgColor rgb="FF2980B9"/>
        <bgColor rgb="FF2980B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1" xfId="0" applyFont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9"/>
  <sheetViews>
    <sheetView tabSelected="1" topLeftCell="A90" workbookViewId="0">
      <selection activeCell="Q30" sqref="Q30"/>
    </sheetView>
  </sheetViews>
  <sheetFormatPr defaultColWidth="9" defaultRowHeight="13.5"/>
  <cols>
    <col min="1" max="2" width="8" customWidth="1"/>
    <col min="3" max="3" width="16" customWidth="1"/>
    <col min="4" max="6" width="10" customWidth="1"/>
    <col min="7" max="7" width="30" customWidth="1"/>
    <col min="8" max="9" width="8" customWidth="1"/>
    <col min="10" max="10" width="10" customWidth="1"/>
    <col min="11" max="11" width="12" customWidth="1"/>
    <col min="12" max="12" width="36" customWidth="1"/>
    <col min="14" max="14" width="11.5486725663717"/>
    <col min="15" max="15" width="15.8141592920354" customWidth="1"/>
    <col min="16" max="16" width="15.6371681415929" customWidth="1"/>
    <col min="18" max="18" width="16.5486725663717" customWidth="1"/>
    <col min="19" max="19" width="15.3628318584071" customWidth="1"/>
    <col min="20" max="20" width="17.9115044247788" customWidth="1"/>
    <col min="21" max="21" width="20.4513274336283" customWidth="1"/>
    <col min="22" max="22" width="15.8141592920354" customWidth="1"/>
  </cols>
  <sheetData>
    <row r="1" ht="20.25" spans="1:12">
      <c r="A1" s="1" t="s">
        <v>0</v>
      </c>
    </row>
    <row r="2" ht="13.85" spans="1:12">
      <c r="A2" s="2" t="s">
        <v>1</v>
      </c>
    </row>
    <row r="4" ht="16.85" spans="1:12">
      <c r="A4" s="3" t="s">
        <v>2</v>
      </c>
    </row>
    <row r="5" ht="27.75" spans="1:12">
      <c r="A5" s="4" t="s">
        <v>3</v>
      </c>
      <c r="B5" s="5" t="s">
        <v>4</v>
      </c>
      <c r="C5" s="6" t="s">
        <v>5</v>
      </c>
      <c r="D5" s="6"/>
      <c r="E5" s="6"/>
      <c r="F5" s="6"/>
      <c r="G5" s="6"/>
      <c r="H5" s="6"/>
      <c r="I5" s="6"/>
      <c r="J5" s="6"/>
      <c r="K5" s="6"/>
      <c r="L5" s="6"/>
    </row>
    <row r="6" ht="41.65" spans="1:12">
      <c r="A6" s="4" t="s">
        <v>6</v>
      </c>
      <c r="B6" s="5" t="s">
        <v>7</v>
      </c>
      <c r="C6" s="6" t="s">
        <v>8</v>
      </c>
      <c r="D6" s="6"/>
      <c r="E6" s="6"/>
      <c r="F6" s="6"/>
      <c r="G6" s="6"/>
      <c r="H6" s="6"/>
      <c r="I6" s="6"/>
      <c r="J6" s="6"/>
      <c r="K6" s="6"/>
      <c r="L6" s="6"/>
    </row>
    <row r="7" ht="27.75" spans="1:12">
      <c r="A7" s="4" t="s">
        <v>9</v>
      </c>
      <c r="B7" s="5" t="s">
        <v>10</v>
      </c>
      <c r="C7" s="6" t="s">
        <v>11</v>
      </c>
      <c r="D7" s="6"/>
      <c r="E7" s="6"/>
      <c r="F7" s="6"/>
      <c r="G7" s="6"/>
      <c r="H7" s="6"/>
      <c r="I7" s="6"/>
      <c r="J7" s="6"/>
      <c r="K7" s="6"/>
      <c r="L7" s="6"/>
    </row>
    <row r="8" ht="47" customHeight="1" spans="1:12">
      <c r="A8" s="4" t="s">
        <v>12</v>
      </c>
      <c r="B8" s="5" t="s">
        <v>13</v>
      </c>
      <c r="C8" s="6" t="s">
        <v>14</v>
      </c>
      <c r="D8" s="6"/>
      <c r="E8" s="6"/>
      <c r="F8" s="6"/>
      <c r="G8" s="6"/>
      <c r="H8" s="6"/>
      <c r="I8" s="6"/>
      <c r="J8" s="6"/>
      <c r="K8" s="6"/>
      <c r="L8" s="6"/>
    </row>
    <row r="9" ht="129" customHeight="1" spans="1:12">
      <c r="A9" s="4" t="s">
        <v>15</v>
      </c>
      <c r="B9" s="5" t="s">
        <v>16</v>
      </c>
      <c r="C9" s="14" t="s">
        <v>17</v>
      </c>
      <c r="D9" s="6"/>
      <c r="E9" s="6"/>
      <c r="F9" s="6"/>
      <c r="G9" s="6"/>
      <c r="H9" s="6"/>
      <c r="I9" s="6"/>
      <c r="J9" s="6"/>
      <c r="K9" s="6"/>
      <c r="L9" s="6"/>
    </row>
    <row r="10" ht="14.65" spans="1:12">
      <c r="A10" s="4" t="s">
        <v>18</v>
      </c>
      <c r="B10" s="5" t="s">
        <v>19</v>
      </c>
      <c r="C10" s="6" t="s">
        <v>20</v>
      </c>
      <c r="D10" s="6"/>
      <c r="E10" s="6"/>
      <c r="F10" s="6"/>
      <c r="G10" s="6"/>
      <c r="H10" s="6"/>
      <c r="I10" s="6"/>
      <c r="J10" s="6"/>
      <c r="K10" s="6"/>
      <c r="L10" s="6"/>
    </row>
    <row r="11" ht="14.65" spans="1:12">
      <c r="A11" s="4" t="s">
        <v>21</v>
      </c>
      <c r="B11" s="5" t="s">
        <v>22</v>
      </c>
      <c r="C11" s="6" t="s">
        <v>23</v>
      </c>
      <c r="D11" s="6"/>
      <c r="E11" s="6"/>
      <c r="F11" s="6"/>
      <c r="G11" s="6"/>
      <c r="H11" s="6"/>
      <c r="I11" s="6"/>
      <c r="J11" s="6"/>
      <c r="K11" s="6"/>
      <c r="L11" s="6"/>
    </row>
    <row r="12" ht="14.65" spans="1:12">
      <c r="A12" s="4" t="s">
        <v>24</v>
      </c>
      <c r="B12" s="5" t="s">
        <v>25</v>
      </c>
      <c r="C12" s="6" t="s">
        <v>26</v>
      </c>
      <c r="D12" s="6"/>
      <c r="E12" s="6"/>
      <c r="F12" s="6"/>
      <c r="G12" s="6"/>
      <c r="H12" s="6"/>
      <c r="I12" s="6"/>
      <c r="J12" s="6"/>
      <c r="K12" s="6"/>
      <c r="L12" s="6"/>
    </row>
    <row r="14" ht="16.85" spans="1:12">
      <c r="A14" s="3" t="s">
        <v>27</v>
      </c>
    </row>
    <row r="15" ht="13.85" spans="1:12">
      <c r="A15" s="7" t="s">
        <v>28</v>
      </c>
      <c r="B15" s="7">
        <v>215101335</v>
      </c>
      <c r="C15" s="7"/>
      <c r="D15" s="7"/>
      <c r="E15" s="7"/>
      <c r="F15" s="7"/>
      <c r="G15" s="7"/>
      <c r="H15" s="7"/>
    </row>
    <row r="16" ht="13.85" spans="1:12">
      <c r="A16" s="7" t="s">
        <v>29</v>
      </c>
      <c r="B16" s="7" t="s">
        <v>30</v>
      </c>
      <c r="C16" s="7"/>
      <c r="D16" s="7"/>
      <c r="E16" s="7"/>
      <c r="F16" s="7"/>
      <c r="G16" s="7"/>
      <c r="H16" s="7"/>
    </row>
    <row r="17" ht="13.85" spans="1:22">
      <c r="A17" s="7" t="s">
        <v>31</v>
      </c>
      <c r="B17" s="7" t="s">
        <v>32</v>
      </c>
      <c r="C17" s="7"/>
      <c r="D17" s="7"/>
      <c r="E17" s="7"/>
      <c r="F17" s="7"/>
      <c r="G17" s="7"/>
      <c r="H17" s="7"/>
    </row>
    <row r="18" ht="13.85" spans="1:22">
      <c r="A18" s="7" t="s">
        <v>33</v>
      </c>
      <c r="B18" s="7" t="s">
        <v>34</v>
      </c>
      <c r="C18" s="7"/>
      <c r="D18" s="7"/>
      <c r="E18" s="7"/>
      <c r="F18" s="7"/>
      <c r="G18" s="7"/>
      <c r="H18" s="7"/>
    </row>
    <row r="19" ht="13.85" spans="1:22">
      <c r="A19" s="7" t="s">
        <v>35</v>
      </c>
      <c r="B19" s="7" t="s">
        <v>36</v>
      </c>
      <c r="C19" s="7"/>
      <c r="D19" s="7"/>
      <c r="E19" s="7"/>
      <c r="F19" s="7"/>
      <c r="G19" s="7"/>
      <c r="H19" s="7"/>
    </row>
    <row r="20" ht="13.85" spans="1:22">
      <c r="A20" s="7" t="s">
        <v>37</v>
      </c>
      <c r="B20" s="7" t="s">
        <v>38</v>
      </c>
      <c r="C20" s="7"/>
      <c r="D20" s="7"/>
      <c r="E20" s="7"/>
      <c r="F20" s="7"/>
      <c r="G20" s="7"/>
      <c r="H20" s="7"/>
    </row>
    <row r="21" ht="13.85" spans="1:22">
      <c r="A21" s="7" t="s">
        <v>39</v>
      </c>
      <c r="B21" s="7" t="s">
        <v>40</v>
      </c>
      <c r="C21" s="7"/>
      <c r="D21" s="7"/>
      <c r="E21" s="7"/>
      <c r="F21" s="7"/>
      <c r="G21" s="7"/>
      <c r="H21" s="7"/>
    </row>
    <row r="22" ht="13.85" spans="1:22">
      <c r="A22" s="7" t="s">
        <v>41</v>
      </c>
      <c r="B22" s="7" t="s">
        <v>42</v>
      </c>
      <c r="C22" s="7"/>
      <c r="D22" s="7"/>
      <c r="E22" s="7"/>
      <c r="F22" s="7"/>
      <c r="G22" s="7"/>
      <c r="H22" s="7"/>
    </row>
    <row r="23" ht="27.75" spans="1:22">
      <c r="N23" s="8" t="s">
        <v>43</v>
      </c>
      <c r="O23" s="8" t="s">
        <v>33</v>
      </c>
      <c r="P23" s="8" t="s">
        <v>44</v>
      </c>
      <c r="Q23" s="8" t="s">
        <v>45</v>
      </c>
      <c r="R23" s="8" t="s">
        <v>46</v>
      </c>
    </row>
    <row r="24" ht="15.75" spans="1:22">
      <c r="A24" s="9" t="s">
        <v>47</v>
      </c>
      <c r="N24" s="10">
        <v>48</v>
      </c>
      <c r="O24" s="10">
        <v>24</v>
      </c>
      <c r="P24" s="10">
        <f>3600*24</f>
        <v>86400</v>
      </c>
      <c r="Q24" s="10">
        <f>P24/O24</f>
        <v>3600</v>
      </c>
      <c r="R24" s="10">
        <v>8</v>
      </c>
    </row>
    <row r="25" ht="78.75" spans="1:22">
      <c r="A25" s="11" t="s">
        <v>48</v>
      </c>
      <c r="B25" s="11" t="s">
        <v>49</v>
      </c>
      <c r="C25" s="11" t="s">
        <v>50</v>
      </c>
      <c r="D25" s="11" t="s">
        <v>51</v>
      </c>
      <c r="E25" s="11" t="s">
        <v>52</v>
      </c>
      <c r="F25" s="11" t="s">
        <v>53</v>
      </c>
      <c r="G25" s="11" t="s">
        <v>54</v>
      </c>
      <c r="H25" s="11" t="s">
        <v>55</v>
      </c>
      <c r="I25" s="11" t="s">
        <v>56</v>
      </c>
      <c r="J25" s="11" t="s">
        <v>57</v>
      </c>
      <c r="K25" s="11" t="s">
        <v>58</v>
      </c>
      <c r="L25" s="11" t="s">
        <v>59</v>
      </c>
    </row>
    <row r="26" ht="27.75" spans="1:22">
      <c r="A26" s="5" t="s">
        <v>60</v>
      </c>
      <c r="B26" s="5" t="s">
        <v>61</v>
      </c>
      <c r="C26" s="5" t="s">
        <v>62</v>
      </c>
      <c r="D26" s="5">
        <v>16</v>
      </c>
      <c r="E26" s="5">
        <v>2</v>
      </c>
      <c r="F26" s="5" t="s">
        <v>63</v>
      </c>
      <c r="G26" s="5" t="s">
        <v>64</v>
      </c>
      <c r="H26" s="5">
        <v>20</v>
      </c>
      <c r="I26" s="5">
        <v>2</v>
      </c>
      <c r="J26" s="5">
        <v>4270</v>
      </c>
      <c r="K26" s="5" t="s">
        <v>65</v>
      </c>
      <c r="L26" s="6" t="s">
        <v>66</v>
      </c>
    </row>
    <row r="27" ht="27.75" spans="1:22">
      <c r="A27" s="10" t="s">
        <v>67</v>
      </c>
      <c r="B27" s="10" t="s">
        <v>61</v>
      </c>
      <c r="C27" s="10" t="s">
        <v>68</v>
      </c>
      <c r="D27" s="10">
        <v>16</v>
      </c>
      <c r="E27" s="10">
        <v>6</v>
      </c>
      <c r="F27" s="10" t="s">
        <v>69</v>
      </c>
      <c r="G27" s="10" t="s">
        <v>70</v>
      </c>
      <c r="H27" s="10">
        <v>20</v>
      </c>
      <c r="I27" s="10">
        <v>2</v>
      </c>
      <c r="J27" s="10">
        <v>4250</v>
      </c>
      <c r="K27" s="10" t="s">
        <v>65</v>
      </c>
      <c r="L27" s="12" t="s">
        <v>71</v>
      </c>
    </row>
    <row r="28" ht="27.75" spans="1:22">
      <c r="A28" s="5" t="s">
        <v>72</v>
      </c>
      <c r="B28" s="5" t="s">
        <v>73</v>
      </c>
      <c r="C28" s="5" t="s">
        <v>74</v>
      </c>
      <c r="D28" s="5">
        <v>16</v>
      </c>
      <c r="E28" s="5">
        <v>5</v>
      </c>
      <c r="F28" s="5" t="s">
        <v>75</v>
      </c>
      <c r="G28" s="5" t="s">
        <v>76</v>
      </c>
      <c r="H28" s="5">
        <v>20</v>
      </c>
      <c r="I28" s="5">
        <v>2</v>
      </c>
      <c r="J28" s="5">
        <v>4235</v>
      </c>
      <c r="K28" s="5" t="s">
        <v>65</v>
      </c>
      <c r="L28" s="6" t="s">
        <v>77</v>
      </c>
      <c r="N28" s="8" t="s">
        <v>78</v>
      </c>
      <c r="O28" s="8" t="s">
        <v>44</v>
      </c>
      <c r="P28" s="8" t="s">
        <v>45</v>
      </c>
      <c r="Q28" s="8" t="s">
        <v>79</v>
      </c>
      <c r="R28" s="8" t="s">
        <v>80</v>
      </c>
    </row>
    <row r="29" ht="27.75" spans="1:22">
      <c r="A29" s="10" t="s">
        <v>81</v>
      </c>
      <c r="B29" s="10" t="s">
        <v>73</v>
      </c>
      <c r="C29" s="10" t="s">
        <v>62</v>
      </c>
      <c r="D29" s="10">
        <v>16</v>
      </c>
      <c r="E29" s="10">
        <v>9</v>
      </c>
      <c r="F29" s="10" t="s">
        <v>82</v>
      </c>
      <c r="G29" s="10" t="s">
        <v>83</v>
      </c>
      <c r="H29" s="10">
        <v>10</v>
      </c>
      <c r="I29" s="10">
        <v>1</v>
      </c>
      <c r="J29" s="10">
        <v>4215</v>
      </c>
      <c r="K29" s="10" t="s">
        <v>84</v>
      </c>
      <c r="L29" s="12" t="s">
        <v>85</v>
      </c>
      <c r="N29" s="10">
        <f>48*8</f>
        <v>384</v>
      </c>
      <c r="O29" s="10">
        <f>3600*24</f>
        <v>86400</v>
      </c>
      <c r="P29" s="10">
        <f>O29/N29</f>
        <v>225</v>
      </c>
      <c r="Q29" s="10">
        <v>3600</v>
      </c>
      <c r="R29" s="10">
        <f>Q29/P29</f>
        <v>16</v>
      </c>
    </row>
    <row r="30" ht="27.75" spans="1:22">
      <c r="A30" s="5" t="s">
        <v>86</v>
      </c>
      <c r="B30" s="5" t="s">
        <v>73</v>
      </c>
      <c r="C30" s="5" t="s">
        <v>68</v>
      </c>
      <c r="D30" s="5">
        <v>16</v>
      </c>
      <c r="E30" s="5">
        <v>3</v>
      </c>
      <c r="F30" s="5" t="s">
        <v>87</v>
      </c>
      <c r="G30" s="5" t="s">
        <v>88</v>
      </c>
      <c r="H30" s="5">
        <v>20</v>
      </c>
      <c r="I30" s="5">
        <v>2</v>
      </c>
      <c r="J30" s="5">
        <v>4205</v>
      </c>
      <c r="K30" s="5" t="s">
        <v>65</v>
      </c>
      <c r="L30" s="6" t="s">
        <v>89</v>
      </c>
    </row>
    <row r="31" ht="27.75" spans="1:22">
      <c r="A31" s="10" t="s">
        <v>90</v>
      </c>
      <c r="B31" s="10" t="s">
        <v>73</v>
      </c>
      <c r="C31" s="10" t="s">
        <v>74</v>
      </c>
      <c r="D31" s="10">
        <v>16</v>
      </c>
      <c r="E31" s="10">
        <v>7</v>
      </c>
      <c r="F31" s="10" t="s">
        <v>91</v>
      </c>
      <c r="G31" s="10" t="s">
        <v>92</v>
      </c>
      <c r="H31" s="10">
        <v>10</v>
      </c>
      <c r="I31" s="10">
        <v>1</v>
      </c>
      <c r="J31" s="10">
        <v>4185</v>
      </c>
      <c r="K31" s="10" t="s">
        <v>84</v>
      </c>
      <c r="L31" s="12" t="s">
        <v>93</v>
      </c>
      <c r="N31" s="8" t="s">
        <v>94</v>
      </c>
      <c r="O31" s="8" t="s">
        <v>95</v>
      </c>
      <c r="P31" s="8" t="s">
        <v>96</v>
      </c>
      <c r="Q31" s="8" t="s">
        <v>97</v>
      </c>
      <c r="R31" s="8" t="s">
        <v>98</v>
      </c>
      <c r="S31" s="8" t="s">
        <v>99</v>
      </c>
      <c r="T31" s="8" t="s">
        <v>100</v>
      </c>
      <c r="U31" s="8" t="s">
        <v>96</v>
      </c>
      <c r="V31" s="8" t="s">
        <v>101</v>
      </c>
    </row>
    <row r="32" ht="27.75" spans="1:22">
      <c r="A32" s="5" t="s">
        <v>102</v>
      </c>
      <c r="B32" s="5" t="s">
        <v>103</v>
      </c>
      <c r="C32" s="5" t="s">
        <v>62</v>
      </c>
      <c r="D32" s="5">
        <v>16</v>
      </c>
      <c r="E32" s="5">
        <v>1</v>
      </c>
      <c r="F32" s="5" t="s">
        <v>104</v>
      </c>
      <c r="G32" s="5" t="s">
        <v>105</v>
      </c>
      <c r="H32" s="5">
        <v>20</v>
      </c>
      <c r="I32" s="5">
        <v>2</v>
      </c>
      <c r="J32" s="5">
        <v>4175</v>
      </c>
      <c r="K32" s="5" t="s">
        <v>65</v>
      </c>
      <c r="L32" s="6" t="s">
        <v>106</v>
      </c>
      <c r="N32" s="10">
        <v>215101335</v>
      </c>
      <c r="O32" s="10">
        <v>5</v>
      </c>
      <c r="P32" s="10">
        <v>3302000465</v>
      </c>
      <c r="Q32" s="10">
        <v>2</v>
      </c>
      <c r="R32" s="10">
        <v>20</v>
      </c>
      <c r="S32" s="10">
        <v>16</v>
      </c>
      <c r="T32" s="10">
        <f>R32+R33-S32-S33+O32</f>
        <v>13</v>
      </c>
      <c r="U32" s="10">
        <v>3302000465</v>
      </c>
      <c r="V32" s="10">
        <v>6</v>
      </c>
    </row>
    <row r="33" ht="27.75" spans="1:22">
      <c r="A33" s="10" t="s">
        <v>107</v>
      </c>
      <c r="B33" s="10" t="s">
        <v>103</v>
      </c>
      <c r="C33" s="10" t="s">
        <v>68</v>
      </c>
      <c r="D33" s="10">
        <v>16</v>
      </c>
      <c r="E33" s="10">
        <v>5</v>
      </c>
      <c r="F33" s="10" t="s">
        <v>75</v>
      </c>
      <c r="G33" s="10" t="s">
        <v>76</v>
      </c>
      <c r="H33" s="10">
        <v>20</v>
      </c>
      <c r="I33" s="10">
        <v>2</v>
      </c>
      <c r="J33" s="10">
        <v>4155</v>
      </c>
      <c r="K33" s="10" t="s">
        <v>65</v>
      </c>
      <c r="L33" s="12" t="s">
        <v>108</v>
      </c>
      <c r="N33" s="5"/>
      <c r="O33" s="5"/>
      <c r="P33" s="5">
        <v>3302002705</v>
      </c>
      <c r="Q33" s="5">
        <v>3</v>
      </c>
      <c r="R33" s="5">
        <v>20</v>
      </c>
      <c r="S33" s="5">
        <v>16</v>
      </c>
      <c r="T33" s="5"/>
      <c r="U33" s="5">
        <v>3302002705</v>
      </c>
      <c r="V33" s="5">
        <v>7</v>
      </c>
    </row>
    <row r="35" ht="15.75" spans="1:22">
      <c r="A35" s="9" t="s">
        <v>109</v>
      </c>
    </row>
    <row r="36" ht="78.75" spans="1:22">
      <c r="A36" s="11" t="s">
        <v>48</v>
      </c>
      <c r="B36" s="11" t="s">
        <v>49</v>
      </c>
      <c r="C36" s="11" t="s">
        <v>50</v>
      </c>
      <c r="D36" s="11" t="s">
        <v>51</v>
      </c>
      <c r="E36" s="11" t="s">
        <v>52</v>
      </c>
      <c r="F36" s="11" t="s">
        <v>53</v>
      </c>
      <c r="G36" s="11" t="s">
        <v>110</v>
      </c>
      <c r="H36" s="11" t="s">
        <v>55</v>
      </c>
      <c r="I36" s="11" t="s">
        <v>56</v>
      </c>
      <c r="J36" s="11" t="s">
        <v>57</v>
      </c>
      <c r="K36" s="11" t="s">
        <v>58</v>
      </c>
      <c r="L36" s="11" t="s">
        <v>59</v>
      </c>
    </row>
    <row r="37" ht="27.75" spans="1:22">
      <c r="A37" s="5" t="s">
        <v>60</v>
      </c>
      <c r="B37" s="5" t="s">
        <v>61</v>
      </c>
      <c r="C37" s="5" t="s">
        <v>62</v>
      </c>
      <c r="D37" s="5">
        <v>16</v>
      </c>
      <c r="E37" s="5">
        <v>3</v>
      </c>
      <c r="F37" s="5" t="s">
        <v>87</v>
      </c>
      <c r="G37" s="5" t="s">
        <v>88</v>
      </c>
      <c r="H37" s="5">
        <v>20</v>
      </c>
      <c r="I37" s="5">
        <v>2</v>
      </c>
      <c r="J37" s="5">
        <v>1197</v>
      </c>
      <c r="K37" s="5" t="s">
        <v>65</v>
      </c>
      <c r="L37" s="6" t="s">
        <v>111</v>
      </c>
    </row>
    <row r="38" ht="27.75" spans="1:22">
      <c r="A38" s="10" t="s">
        <v>67</v>
      </c>
      <c r="B38" s="10" t="s">
        <v>61</v>
      </c>
      <c r="C38" s="10" t="s">
        <v>68</v>
      </c>
      <c r="D38" s="10">
        <v>16</v>
      </c>
      <c r="E38" s="10">
        <v>7</v>
      </c>
      <c r="F38" s="10" t="s">
        <v>91</v>
      </c>
      <c r="G38" s="10" t="s">
        <v>92</v>
      </c>
      <c r="H38" s="10">
        <v>10</v>
      </c>
      <c r="I38" s="10">
        <v>2</v>
      </c>
      <c r="J38" s="10">
        <v>1177</v>
      </c>
      <c r="K38" s="10" t="s">
        <v>65</v>
      </c>
      <c r="L38" s="12" t="s">
        <v>112</v>
      </c>
    </row>
    <row r="39" ht="27.75" spans="1:22">
      <c r="A39" s="5" t="s">
        <v>72</v>
      </c>
      <c r="B39" s="5" t="s">
        <v>73</v>
      </c>
      <c r="C39" s="5" t="s">
        <v>74</v>
      </c>
      <c r="D39" s="5">
        <v>16</v>
      </c>
      <c r="E39" s="5">
        <v>6</v>
      </c>
      <c r="F39" s="5" t="s">
        <v>69</v>
      </c>
      <c r="G39" s="5" t="s">
        <v>70</v>
      </c>
      <c r="H39" s="5">
        <v>20</v>
      </c>
      <c r="I39" s="5">
        <v>2</v>
      </c>
      <c r="J39" s="5">
        <v>1162</v>
      </c>
      <c r="K39" s="5" t="s">
        <v>65</v>
      </c>
      <c r="L39" s="6" t="s">
        <v>113</v>
      </c>
    </row>
    <row r="40" ht="27.75" spans="1:22">
      <c r="A40" s="10" t="s">
        <v>81</v>
      </c>
      <c r="B40" s="10" t="s">
        <v>73</v>
      </c>
      <c r="C40" s="10" t="s">
        <v>62</v>
      </c>
      <c r="D40" s="10">
        <v>16</v>
      </c>
      <c r="E40" s="10">
        <v>10</v>
      </c>
      <c r="F40" s="10" t="s">
        <v>114</v>
      </c>
      <c r="G40" s="10" t="s">
        <v>115</v>
      </c>
      <c r="H40" s="10">
        <v>10</v>
      </c>
      <c r="I40" s="10">
        <v>1</v>
      </c>
      <c r="J40" s="10">
        <v>1142</v>
      </c>
      <c r="K40" s="10" t="s">
        <v>84</v>
      </c>
      <c r="L40" s="12" t="s">
        <v>116</v>
      </c>
    </row>
    <row r="41" ht="27.75" spans="1:22">
      <c r="A41" s="5" t="s">
        <v>86</v>
      </c>
      <c r="B41" s="5" t="s">
        <v>73</v>
      </c>
      <c r="C41" s="5" t="s">
        <v>68</v>
      </c>
      <c r="D41" s="5">
        <v>16</v>
      </c>
      <c r="E41" s="5">
        <v>4</v>
      </c>
      <c r="F41" s="5" t="s">
        <v>117</v>
      </c>
      <c r="G41" s="5" t="s">
        <v>118</v>
      </c>
      <c r="H41" s="5">
        <v>20</v>
      </c>
      <c r="I41" s="5">
        <v>2</v>
      </c>
      <c r="J41" s="5">
        <v>1132</v>
      </c>
      <c r="K41" s="5" t="s">
        <v>65</v>
      </c>
      <c r="L41" s="6" t="s">
        <v>119</v>
      </c>
    </row>
    <row r="42" ht="27.75" spans="1:22">
      <c r="A42" s="10" t="s">
        <v>90</v>
      </c>
      <c r="B42" s="10" t="s">
        <v>73</v>
      </c>
      <c r="C42" s="10" t="s">
        <v>74</v>
      </c>
      <c r="D42" s="10">
        <v>16</v>
      </c>
      <c r="E42" s="10">
        <v>8</v>
      </c>
      <c r="F42" s="10" t="s">
        <v>120</v>
      </c>
      <c r="G42" s="10" t="s">
        <v>121</v>
      </c>
      <c r="H42" s="10">
        <v>10</v>
      </c>
      <c r="I42" s="10">
        <v>1</v>
      </c>
      <c r="J42" s="10">
        <v>1112</v>
      </c>
      <c r="K42" s="10" t="s">
        <v>84</v>
      </c>
      <c r="L42" s="12" t="s">
        <v>122</v>
      </c>
    </row>
    <row r="43" ht="27.75" spans="1:22">
      <c r="A43" s="5" t="s">
        <v>102</v>
      </c>
      <c r="B43" s="5" t="s">
        <v>103</v>
      </c>
      <c r="C43" s="5" t="s">
        <v>62</v>
      </c>
      <c r="D43" s="5">
        <v>16</v>
      </c>
      <c r="E43" s="5">
        <v>2</v>
      </c>
      <c r="F43" s="5" t="s">
        <v>63</v>
      </c>
      <c r="G43" s="5" t="s">
        <v>64</v>
      </c>
      <c r="H43" s="5">
        <v>20</v>
      </c>
      <c r="I43" s="5">
        <v>2</v>
      </c>
      <c r="J43" s="5">
        <v>1102</v>
      </c>
      <c r="K43" s="5" t="s">
        <v>65</v>
      </c>
      <c r="L43" s="6" t="s">
        <v>123</v>
      </c>
    </row>
    <row r="44" ht="27.75" spans="1:22">
      <c r="A44" s="10" t="s">
        <v>107</v>
      </c>
      <c r="B44" s="10" t="s">
        <v>103</v>
      </c>
      <c r="C44" s="10" t="s">
        <v>68</v>
      </c>
      <c r="D44" s="10">
        <v>16</v>
      </c>
      <c r="E44" s="10">
        <v>6</v>
      </c>
      <c r="F44" s="10" t="s">
        <v>69</v>
      </c>
      <c r="G44" s="10" t="s">
        <v>70</v>
      </c>
      <c r="H44" s="10">
        <v>20</v>
      </c>
      <c r="I44" s="10">
        <v>2</v>
      </c>
      <c r="J44" s="10">
        <v>1082</v>
      </c>
      <c r="K44" s="10" t="s">
        <v>65</v>
      </c>
      <c r="L44" s="12" t="s">
        <v>124</v>
      </c>
    </row>
    <row r="46" ht="14.6" spans="1:22">
      <c r="A46" s="13" t="s">
        <v>125</v>
      </c>
    </row>
    <row r="47" ht="13.85" spans="1:22">
      <c r="A47" s="7" t="s">
        <v>126</v>
      </c>
    </row>
    <row r="48" ht="13.85" spans="1:22">
      <c r="A48" s="7" t="s">
        <v>127</v>
      </c>
    </row>
    <row r="49" ht="13.85" spans="1:8">
      <c r="A49" s="7" t="s">
        <v>128</v>
      </c>
    </row>
    <row r="50" ht="13.85" spans="1:8">
      <c r="A50" s="7" t="s">
        <v>129</v>
      </c>
    </row>
    <row r="51" ht="13.85" spans="1:8">
      <c r="A51" s="7" t="s">
        <v>130</v>
      </c>
    </row>
    <row r="52" ht="13.85" spans="1:8">
      <c r="A52" s="7" t="s">
        <v>131</v>
      </c>
    </row>
    <row r="53" ht="13.85" spans="1:8">
      <c r="A53" s="7" t="s">
        <v>132</v>
      </c>
    </row>
    <row r="54" ht="13.85" spans="1:8">
      <c r="A54" s="7" t="s">
        <v>133</v>
      </c>
    </row>
    <row r="56" ht="16.85" spans="1:8">
      <c r="A56" s="3" t="s">
        <v>134</v>
      </c>
    </row>
    <row r="57" ht="13.85" spans="1:8">
      <c r="A57" s="7" t="s">
        <v>28</v>
      </c>
      <c r="B57" s="7">
        <v>215102631</v>
      </c>
      <c r="C57" s="7"/>
      <c r="D57" s="7"/>
      <c r="E57" s="7"/>
      <c r="F57" s="7"/>
      <c r="G57" s="7"/>
      <c r="H57" s="7"/>
    </row>
    <row r="58" ht="13.85" spans="1:8">
      <c r="A58" s="7" t="s">
        <v>29</v>
      </c>
      <c r="B58" s="7" t="s">
        <v>30</v>
      </c>
      <c r="C58" s="7"/>
      <c r="D58" s="7"/>
      <c r="E58" s="7"/>
      <c r="F58" s="7"/>
      <c r="G58" s="7"/>
      <c r="H58" s="7"/>
    </row>
    <row r="59" ht="13.85" spans="1:8">
      <c r="A59" s="7" t="s">
        <v>31</v>
      </c>
      <c r="B59" s="7" t="s">
        <v>32</v>
      </c>
      <c r="C59" s="7"/>
      <c r="D59" s="7"/>
      <c r="E59" s="7"/>
      <c r="F59" s="7"/>
      <c r="G59" s="7"/>
      <c r="H59" s="7"/>
    </row>
    <row r="60" ht="13.85" spans="1:8">
      <c r="A60" s="7" t="s">
        <v>33</v>
      </c>
      <c r="B60" s="7" t="s">
        <v>34</v>
      </c>
      <c r="C60" s="7"/>
      <c r="D60" s="7"/>
      <c r="E60" s="7"/>
      <c r="F60" s="7"/>
      <c r="G60" s="7"/>
      <c r="H60" s="7"/>
    </row>
    <row r="61" ht="13.85" spans="1:8">
      <c r="A61" s="7" t="s">
        <v>35</v>
      </c>
      <c r="B61" s="7" t="s">
        <v>36</v>
      </c>
      <c r="C61" s="7"/>
      <c r="D61" s="7"/>
      <c r="E61" s="7"/>
      <c r="F61" s="7"/>
      <c r="G61" s="7"/>
      <c r="H61" s="7"/>
    </row>
    <row r="62" ht="13.85" spans="1:8">
      <c r="A62" s="7" t="s">
        <v>37</v>
      </c>
      <c r="B62" s="7" t="s">
        <v>38</v>
      </c>
      <c r="C62" s="7"/>
      <c r="D62" s="7"/>
      <c r="E62" s="7"/>
      <c r="F62" s="7"/>
      <c r="G62" s="7"/>
      <c r="H62" s="7"/>
    </row>
    <row r="63" ht="13.85" spans="1:8">
      <c r="A63" s="7" t="s">
        <v>39</v>
      </c>
      <c r="B63" s="7" t="s">
        <v>135</v>
      </c>
      <c r="C63" s="7"/>
      <c r="D63" s="7"/>
      <c r="E63" s="7"/>
      <c r="F63" s="7"/>
      <c r="G63" s="7"/>
      <c r="H63" s="7"/>
    </row>
    <row r="64" ht="13.85" spans="1:8">
      <c r="A64" s="7" t="s">
        <v>41</v>
      </c>
      <c r="B64" s="7" t="s">
        <v>136</v>
      </c>
      <c r="C64" s="7"/>
      <c r="D64" s="7"/>
      <c r="E64" s="7"/>
      <c r="F64" s="7"/>
      <c r="G64" s="7"/>
      <c r="H64" s="7"/>
    </row>
    <row r="65" ht="13.85" spans="1:12">
      <c r="A65" s="7" t="s">
        <v>137</v>
      </c>
      <c r="B65" s="7" t="s">
        <v>138</v>
      </c>
      <c r="C65" s="7"/>
      <c r="D65" s="7"/>
      <c r="E65" s="7"/>
      <c r="F65" s="7"/>
      <c r="G65" s="7"/>
      <c r="H65" s="7"/>
    </row>
    <row r="67" ht="15.75" spans="1:12">
      <c r="A67" s="9" t="s">
        <v>139</v>
      </c>
    </row>
    <row r="68" ht="78.75" spans="1:12">
      <c r="A68" s="11" t="s">
        <v>48</v>
      </c>
      <c r="B68" s="11" t="s">
        <v>49</v>
      </c>
      <c r="C68" s="11" t="s">
        <v>50</v>
      </c>
      <c r="D68" s="11" t="s">
        <v>51</v>
      </c>
      <c r="E68" s="11" t="s">
        <v>52</v>
      </c>
      <c r="F68" s="11" t="s">
        <v>53</v>
      </c>
      <c r="G68" s="11" t="s">
        <v>110</v>
      </c>
      <c r="H68" s="11" t="s">
        <v>55</v>
      </c>
      <c r="I68" s="11" t="s">
        <v>56</v>
      </c>
      <c r="J68" s="11" t="s">
        <v>57</v>
      </c>
      <c r="K68" s="11" t="s">
        <v>58</v>
      </c>
      <c r="L68" s="11" t="s">
        <v>59</v>
      </c>
    </row>
    <row r="69" ht="27.75" spans="1:12">
      <c r="A69" s="5" t="s">
        <v>60</v>
      </c>
      <c r="B69" s="5" t="s">
        <v>61</v>
      </c>
      <c r="C69" s="5" t="s">
        <v>62</v>
      </c>
      <c r="D69" s="5">
        <v>16</v>
      </c>
      <c r="E69" s="5">
        <v>0</v>
      </c>
      <c r="F69" s="5" t="s">
        <v>140</v>
      </c>
      <c r="G69" s="5" t="s">
        <v>141</v>
      </c>
      <c r="H69" s="5">
        <v>20</v>
      </c>
      <c r="I69" s="5">
        <v>2</v>
      </c>
      <c r="J69" s="5">
        <v>1440</v>
      </c>
      <c r="K69" s="5" t="s">
        <v>65</v>
      </c>
      <c r="L69" s="6" t="s">
        <v>142</v>
      </c>
    </row>
    <row r="70" ht="27.75" spans="1:12">
      <c r="A70" s="10" t="s">
        <v>67</v>
      </c>
      <c r="B70" s="10" t="s">
        <v>61</v>
      </c>
      <c r="C70" s="10" t="s">
        <v>68</v>
      </c>
      <c r="D70" s="10">
        <v>16</v>
      </c>
      <c r="E70" s="10">
        <v>4</v>
      </c>
      <c r="F70" s="10" t="s">
        <v>117</v>
      </c>
      <c r="G70" s="10" t="s">
        <v>118</v>
      </c>
      <c r="H70" s="10">
        <v>20</v>
      </c>
      <c r="I70" s="10">
        <v>2</v>
      </c>
      <c r="J70" s="10">
        <v>1420</v>
      </c>
      <c r="K70" s="10" t="s">
        <v>65</v>
      </c>
      <c r="L70" s="12" t="s">
        <v>71</v>
      </c>
    </row>
    <row r="71" ht="27.75" spans="1:12">
      <c r="A71" s="5" t="s">
        <v>72</v>
      </c>
      <c r="B71" s="5" t="s">
        <v>73</v>
      </c>
      <c r="C71" s="5" t="s">
        <v>74</v>
      </c>
      <c r="D71" s="5">
        <v>16</v>
      </c>
      <c r="E71" s="5">
        <v>8</v>
      </c>
      <c r="F71" s="5" t="s">
        <v>120</v>
      </c>
      <c r="G71" s="5" t="s">
        <v>121</v>
      </c>
      <c r="H71" s="5">
        <v>10</v>
      </c>
      <c r="I71" s="5">
        <v>1</v>
      </c>
      <c r="J71" s="5">
        <v>1400</v>
      </c>
      <c r="K71" s="5" t="s">
        <v>84</v>
      </c>
      <c r="L71" s="6" t="s">
        <v>77</v>
      </c>
    </row>
    <row r="72" ht="27.75" spans="1:12">
      <c r="A72" s="10" t="s">
        <v>81</v>
      </c>
      <c r="B72" s="10" t="s">
        <v>73</v>
      </c>
      <c r="C72" s="10" t="s">
        <v>62</v>
      </c>
      <c r="D72" s="10">
        <v>16</v>
      </c>
      <c r="E72" s="10">
        <v>2</v>
      </c>
      <c r="F72" s="10" t="s">
        <v>63</v>
      </c>
      <c r="G72" s="10" t="s">
        <v>64</v>
      </c>
      <c r="H72" s="10">
        <v>20</v>
      </c>
      <c r="I72" s="10">
        <v>2</v>
      </c>
      <c r="J72" s="10">
        <v>1390</v>
      </c>
      <c r="K72" s="10" t="s">
        <v>65</v>
      </c>
      <c r="L72" s="12" t="s">
        <v>85</v>
      </c>
    </row>
    <row r="73" ht="27.75" spans="1:12">
      <c r="A73" s="5" t="s">
        <v>86</v>
      </c>
      <c r="B73" s="5" t="s">
        <v>73</v>
      </c>
      <c r="C73" s="5" t="s">
        <v>68</v>
      </c>
      <c r="D73" s="5">
        <v>16</v>
      </c>
      <c r="E73" s="5">
        <v>6</v>
      </c>
      <c r="F73" s="5" t="s">
        <v>69</v>
      </c>
      <c r="G73" s="5" t="s">
        <v>70</v>
      </c>
      <c r="H73" s="5">
        <v>20</v>
      </c>
      <c r="I73" s="5">
        <v>2</v>
      </c>
      <c r="J73" s="5">
        <v>1370</v>
      </c>
      <c r="K73" s="5" t="s">
        <v>65</v>
      </c>
      <c r="L73" s="6" t="s">
        <v>89</v>
      </c>
    </row>
    <row r="74" ht="27.75" spans="1:12">
      <c r="A74" s="10" t="s">
        <v>90</v>
      </c>
      <c r="B74" s="10" t="s">
        <v>73</v>
      </c>
      <c r="C74" s="10" t="s">
        <v>74</v>
      </c>
      <c r="D74" s="10">
        <v>16</v>
      </c>
      <c r="E74" s="10">
        <v>10</v>
      </c>
      <c r="F74" s="10" t="s">
        <v>114</v>
      </c>
      <c r="G74" s="10" t="s">
        <v>115</v>
      </c>
      <c r="H74" s="10">
        <v>10</v>
      </c>
      <c r="I74" s="10">
        <v>1</v>
      </c>
      <c r="J74" s="10">
        <v>1350</v>
      </c>
      <c r="K74" s="10" t="s">
        <v>84</v>
      </c>
      <c r="L74" s="12" t="s">
        <v>93</v>
      </c>
    </row>
    <row r="75" ht="27.75" spans="1:12">
      <c r="A75" s="5" t="s">
        <v>102</v>
      </c>
      <c r="B75" s="5" t="s">
        <v>103</v>
      </c>
      <c r="C75" s="5" t="s">
        <v>62</v>
      </c>
      <c r="D75" s="5">
        <v>16</v>
      </c>
      <c r="E75" s="5">
        <v>4</v>
      </c>
      <c r="F75" s="5" t="s">
        <v>117</v>
      </c>
      <c r="G75" s="5" t="s">
        <v>118</v>
      </c>
      <c r="H75" s="5">
        <v>20</v>
      </c>
      <c r="I75" s="5">
        <v>2</v>
      </c>
      <c r="J75" s="5">
        <v>1340</v>
      </c>
      <c r="K75" s="5" t="s">
        <v>65</v>
      </c>
      <c r="L75" s="6" t="s">
        <v>106</v>
      </c>
    </row>
    <row r="76" ht="27.75" spans="1:12">
      <c r="A76" s="10" t="s">
        <v>107</v>
      </c>
      <c r="B76" s="10" t="s">
        <v>103</v>
      </c>
      <c r="C76" s="10" t="s">
        <v>68</v>
      </c>
      <c r="D76" s="10">
        <v>16</v>
      </c>
      <c r="E76" s="10">
        <v>8</v>
      </c>
      <c r="F76" s="10" t="s">
        <v>120</v>
      </c>
      <c r="G76" s="10" t="s">
        <v>121</v>
      </c>
      <c r="H76" s="10">
        <v>10</v>
      </c>
      <c r="I76" s="10">
        <v>1</v>
      </c>
      <c r="J76" s="10">
        <v>1320</v>
      </c>
      <c r="K76" s="10" t="s">
        <v>84</v>
      </c>
      <c r="L76" s="12" t="s">
        <v>108</v>
      </c>
    </row>
    <row r="78" ht="15.75" spans="1:12">
      <c r="A78" s="9" t="s">
        <v>143</v>
      </c>
    </row>
    <row r="79" ht="78.75" spans="1:12">
      <c r="A79" s="11" t="s">
        <v>48</v>
      </c>
      <c r="B79" s="11" t="s">
        <v>49</v>
      </c>
      <c r="C79" s="11" t="s">
        <v>50</v>
      </c>
      <c r="D79" s="11" t="s">
        <v>51</v>
      </c>
      <c r="E79" s="11" t="s">
        <v>52</v>
      </c>
      <c r="F79" s="11" t="s">
        <v>53</v>
      </c>
      <c r="G79" s="11" t="s">
        <v>110</v>
      </c>
      <c r="H79" s="11" t="s">
        <v>55</v>
      </c>
      <c r="I79" s="11" t="s">
        <v>56</v>
      </c>
      <c r="J79" s="11" t="s">
        <v>57</v>
      </c>
      <c r="K79" s="11" t="s">
        <v>58</v>
      </c>
      <c r="L79" s="11" t="s">
        <v>59</v>
      </c>
    </row>
    <row r="80" ht="27.75" spans="1:12">
      <c r="A80" s="5" t="s">
        <v>60</v>
      </c>
      <c r="B80" s="5" t="s">
        <v>61</v>
      </c>
      <c r="C80" s="5" t="s">
        <v>62</v>
      </c>
      <c r="D80" s="5">
        <v>16</v>
      </c>
      <c r="E80" s="5">
        <v>0</v>
      </c>
      <c r="F80" s="5" t="s">
        <v>140</v>
      </c>
      <c r="G80" s="5" t="s">
        <v>141</v>
      </c>
      <c r="H80" s="5">
        <v>20</v>
      </c>
      <c r="I80" s="5">
        <v>2</v>
      </c>
      <c r="J80" s="5">
        <v>1200</v>
      </c>
      <c r="K80" s="5" t="s">
        <v>65</v>
      </c>
      <c r="L80" s="6" t="s">
        <v>144</v>
      </c>
    </row>
    <row r="81" ht="27.75" spans="1:12">
      <c r="A81" s="10" t="s">
        <v>67</v>
      </c>
      <c r="B81" s="10" t="s">
        <v>61</v>
      </c>
      <c r="C81" s="10" t="s">
        <v>68</v>
      </c>
      <c r="D81" s="10">
        <v>16</v>
      </c>
      <c r="E81" s="10">
        <v>4</v>
      </c>
      <c r="F81" s="10" t="s">
        <v>117</v>
      </c>
      <c r="G81" s="10" t="s">
        <v>118</v>
      </c>
      <c r="H81" s="10">
        <v>20</v>
      </c>
      <c r="I81" s="10">
        <v>2</v>
      </c>
      <c r="J81" s="10">
        <v>1180</v>
      </c>
      <c r="K81" s="10" t="s">
        <v>65</v>
      </c>
      <c r="L81" s="12" t="s">
        <v>112</v>
      </c>
    </row>
    <row r="82" ht="27.75" spans="1:12">
      <c r="A82" s="5" t="s">
        <v>72</v>
      </c>
      <c r="B82" s="5" t="s">
        <v>73</v>
      </c>
      <c r="C82" s="5" t="s">
        <v>74</v>
      </c>
      <c r="D82" s="5">
        <v>16</v>
      </c>
      <c r="E82" s="5">
        <v>8</v>
      </c>
      <c r="F82" s="5" t="s">
        <v>120</v>
      </c>
      <c r="G82" s="5" t="s">
        <v>121</v>
      </c>
      <c r="H82" s="5">
        <v>10</v>
      </c>
      <c r="I82" s="5">
        <v>1</v>
      </c>
      <c r="J82" s="5">
        <v>1160</v>
      </c>
      <c r="K82" s="5" t="s">
        <v>84</v>
      </c>
      <c r="L82" s="6" t="s">
        <v>113</v>
      </c>
    </row>
    <row r="83" ht="27.75" spans="1:12">
      <c r="A83" s="10" t="s">
        <v>81</v>
      </c>
      <c r="B83" s="10" t="s">
        <v>73</v>
      </c>
      <c r="C83" s="10" t="s">
        <v>62</v>
      </c>
      <c r="D83" s="10">
        <v>16</v>
      </c>
      <c r="E83" s="10">
        <v>2</v>
      </c>
      <c r="F83" s="10" t="s">
        <v>63</v>
      </c>
      <c r="G83" s="10" t="s">
        <v>64</v>
      </c>
      <c r="H83" s="10">
        <v>20</v>
      </c>
      <c r="I83" s="10">
        <v>2</v>
      </c>
      <c r="J83" s="10">
        <v>1150</v>
      </c>
      <c r="K83" s="10" t="s">
        <v>65</v>
      </c>
      <c r="L83" s="12" t="s">
        <v>116</v>
      </c>
    </row>
    <row r="84" ht="27.75" spans="1:12">
      <c r="A84" s="5" t="s">
        <v>86</v>
      </c>
      <c r="B84" s="5" t="s">
        <v>73</v>
      </c>
      <c r="C84" s="5" t="s">
        <v>68</v>
      </c>
      <c r="D84" s="5">
        <v>16</v>
      </c>
      <c r="E84" s="5">
        <v>6</v>
      </c>
      <c r="F84" s="5" t="s">
        <v>69</v>
      </c>
      <c r="G84" s="5" t="s">
        <v>70</v>
      </c>
      <c r="H84" s="5">
        <v>20</v>
      </c>
      <c r="I84" s="5">
        <v>2</v>
      </c>
      <c r="J84" s="5">
        <v>1130</v>
      </c>
      <c r="K84" s="5" t="s">
        <v>65</v>
      </c>
      <c r="L84" s="6" t="s">
        <v>119</v>
      </c>
    </row>
    <row r="85" ht="27.75" spans="1:12">
      <c r="A85" s="10" t="s">
        <v>90</v>
      </c>
      <c r="B85" s="10" t="s">
        <v>73</v>
      </c>
      <c r="C85" s="10" t="s">
        <v>74</v>
      </c>
      <c r="D85" s="10">
        <v>16</v>
      </c>
      <c r="E85" s="10">
        <v>10</v>
      </c>
      <c r="F85" s="10" t="s">
        <v>114</v>
      </c>
      <c r="G85" s="10" t="s">
        <v>115</v>
      </c>
      <c r="H85" s="10">
        <v>10</v>
      </c>
      <c r="I85" s="10">
        <v>1</v>
      </c>
      <c r="J85" s="10">
        <v>1110</v>
      </c>
      <c r="K85" s="10" t="s">
        <v>84</v>
      </c>
      <c r="L85" s="12" t="s">
        <v>122</v>
      </c>
    </row>
    <row r="86" ht="27.75" spans="1:12">
      <c r="A86" s="5" t="s">
        <v>102</v>
      </c>
      <c r="B86" s="5" t="s">
        <v>103</v>
      </c>
      <c r="C86" s="5" t="s">
        <v>62</v>
      </c>
      <c r="D86" s="5">
        <v>16</v>
      </c>
      <c r="E86" s="5">
        <v>4</v>
      </c>
      <c r="F86" s="5" t="s">
        <v>117</v>
      </c>
      <c r="G86" s="5" t="s">
        <v>118</v>
      </c>
      <c r="H86" s="5">
        <v>20</v>
      </c>
      <c r="I86" s="5">
        <v>2</v>
      </c>
      <c r="J86" s="5">
        <v>1100</v>
      </c>
      <c r="K86" s="5" t="s">
        <v>65</v>
      </c>
      <c r="L86" s="6" t="s">
        <v>123</v>
      </c>
    </row>
    <row r="87" ht="27.75" spans="1:12">
      <c r="A87" s="10" t="s">
        <v>107</v>
      </c>
      <c r="B87" s="10" t="s">
        <v>103</v>
      </c>
      <c r="C87" s="10" t="s">
        <v>68</v>
      </c>
      <c r="D87" s="10">
        <v>16</v>
      </c>
      <c r="E87" s="10">
        <v>8</v>
      </c>
      <c r="F87" s="10" t="s">
        <v>120</v>
      </c>
      <c r="G87" s="10" t="s">
        <v>121</v>
      </c>
      <c r="H87" s="10">
        <v>10</v>
      </c>
      <c r="I87" s="10">
        <v>1</v>
      </c>
      <c r="J87" s="10">
        <v>1080</v>
      </c>
      <c r="K87" s="10" t="s">
        <v>84</v>
      </c>
      <c r="L87" s="12" t="s">
        <v>124</v>
      </c>
    </row>
    <row r="89" ht="15.75" spans="1:12">
      <c r="A89" s="9" t="s">
        <v>145</v>
      </c>
    </row>
    <row r="90" ht="78.75" spans="1:12">
      <c r="A90" s="11" t="s">
        <v>48</v>
      </c>
      <c r="B90" s="11" t="s">
        <v>49</v>
      </c>
      <c r="C90" s="11" t="s">
        <v>50</v>
      </c>
      <c r="D90" s="11" t="s">
        <v>51</v>
      </c>
      <c r="E90" s="11" t="s">
        <v>52</v>
      </c>
      <c r="F90" s="11" t="s">
        <v>53</v>
      </c>
      <c r="G90" s="11" t="s">
        <v>110</v>
      </c>
      <c r="H90" s="11" t="s">
        <v>55</v>
      </c>
      <c r="I90" s="11" t="s">
        <v>56</v>
      </c>
      <c r="J90" s="11" t="s">
        <v>57</v>
      </c>
      <c r="K90" s="11" t="s">
        <v>58</v>
      </c>
      <c r="L90" s="11" t="s">
        <v>59</v>
      </c>
    </row>
    <row r="91" ht="27.75" spans="1:12">
      <c r="A91" s="5" t="s">
        <v>60</v>
      </c>
      <c r="B91" s="5" t="s">
        <v>61</v>
      </c>
      <c r="C91" s="5" t="s">
        <v>62</v>
      </c>
      <c r="D91" s="5">
        <v>16</v>
      </c>
      <c r="E91" s="5">
        <v>0</v>
      </c>
      <c r="F91" s="5" t="s">
        <v>140</v>
      </c>
      <c r="G91" s="5" t="s">
        <v>141</v>
      </c>
      <c r="H91" s="5">
        <v>20</v>
      </c>
      <c r="I91" s="5">
        <v>2</v>
      </c>
      <c r="J91" s="5">
        <v>672</v>
      </c>
      <c r="K91" s="5" t="s">
        <v>65</v>
      </c>
      <c r="L91" s="6" t="s">
        <v>144</v>
      </c>
    </row>
    <row r="92" ht="27.75" spans="1:12">
      <c r="A92" s="10" t="s">
        <v>67</v>
      </c>
      <c r="B92" s="10" t="s">
        <v>61</v>
      </c>
      <c r="C92" s="10" t="s">
        <v>68</v>
      </c>
      <c r="D92" s="10">
        <v>16</v>
      </c>
      <c r="E92" s="10">
        <v>4</v>
      </c>
      <c r="F92" s="10" t="s">
        <v>117</v>
      </c>
      <c r="G92" s="10" t="s">
        <v>118</v>
      </c>
      <c r="H92" s="10">
        <v>20</v>
      </c>
      <c r="I92" s="10">
        <v>2</v>
      </c>
      <c r="J92" s="10">
        <v>652</v>
      </c>
      <c r="K92" s="10" t="s">
        <v>65</v>
      </c>
      <c r="L92" s="12" t="s">
        <v>112</v>
      </c>
    </row>
    <row r="93" ht="27.75" spans="1:12">
      <c r="A93" s="5" t="s">
        <v>72</v>
      </c>
      <c r="B93" s="5" t="s">
        <v>73</v>
      </c>
      <c r="C93" s="5" t="s">
        <v>74</v>
      </c>
      <c r="D93" s="5">
        <v>16</v>
      </c>
      <c r="E93" s="5">
        <v>8</v>
      </c>
      <c r="F93" s="5" t="s">
        <v>120</v>
      </c>
      <c r="G93" s="5" t="s">
        <v>121</v>
      </c>
      <c r="H93" s="5">
        <v>10</v>
      </c>
      <c r="I93" s="5">
        <v>1</v>
      </c>
      <c r="J93" s="5">
        <v>632</v>
      </c>
      <c r="K93" s="5" t="s">
        <v>84</v>
      </c>
      <c r="L93" s="6" t="s">
        <v>113</v>
      </c>
    </row>
    <row r="94" ht="27.75" spans="1:12">
      <c r="A94" s="10" t="s">
        <v>81</v>
      </c>
      <c r="B94" s="10" t="s">
        <v>73</v>
      </c>
      <c r="C94" s="10" t="s">
        <v>62</v>
      </c>
      <c r="D94" s="10">
        <v>16</v>
      </c>
      <c r="E94" s="10">
        <v>2</v>
      </c>
      <c r="F94" s="10" t="s">
        <v>63</v>
      </c>
      <c r="G94" s="10" t="s">
        <v>64</v>
      </c>
      <c r="H94" s="10">
        <v>20</v>
      </c>
      <c r="I94" s="10">
        <v>2</v>
      </c>
      <c r="J94" s="10">
        <v>622</v>
      </c>
      <c r="K94" s="10" t="s">
        <v>65</v>
      </c>
      <c r="L94" s="12" t="s">
        <v>116</v>
      </c>
    </row>
    <row r="95" ht="27.75" spans="1:12">
      <c r="A95" s="5" t="s">
        <v>86</v>
      </c>
      <c r="B95" s="5" t="s">
        <v>73</v>
      </c>
      <c r="C95" s="5" t="s">
        <v>68</v>
      </c>
      <c r="D95" s="5">
        <v>16</v>
      </c>
      <c r="E95" s="5">
        <v>6</v>
      </c>
      <c r="F95" s="5" t="s">
        <v>69</v>
      </c>
      <c r="G95" s="5" t="s">
        <v>70</v>
      </c>
      <c r="H95" s="5">
        <v>20</v>
      </c>
      <c r="I95" s="5">
        <v>2</v>
      </c>
      <c r="J95" s="5">
        <v>602</v>
      </c>
      <c r="K95" s="5" t="s">
        <v>65</v>
      </c>
      <c r="L95" s="6" t="s">
        <v>119</v>
      </c>
    </row>
    <row r="96" ht="27.75" spans="1:12">
      <c r="A96" s="10" t="s">
        <v>90</v>
      </c>
      <c r="B96" s="10" t="s">
        <v>73</v>
      </c>
      <c r="C96" s="10" t="s">
        <v>74</v>
      </c>
      <c r="D96" s="10">
        <v>16</v>
      </c>
      <c r="E96" s="10">
        <v>10</v>
      </c>
      <c r="F96" s="10" t="s">
        <v>114</v>
      </c>
      <c r="G96" s="10" t="s">
        <v>115</v>
      </c>
      <c r="H96" s="10">
        <v>10</v>
      </c>
      <c r="I96" s="10">
        <v>1</v>
      </c>
      <c r="J96" s="10">
        <v>582</v>
      </c>
      <c r="K96" s="10" t="s">
        <v>84</v>
      </c>
      <c r="L96" s="12" t="s">
        <v>122</v>
      </c>
    </row>
    <row r="97" ht="27.75" spans="1:12">
      <c r="A97" s="5" t="s">
        <v>102</v>
      </c>
      <c r="B97" s="5" t="s">
        <v>103</v>
      </c>
      <c r="C97" s="5" t="s">
        <v>62</v>
      </c>
      <c r="D97" s="5">
        <v>16</v>
      </c>
      <c r="E97" s="5">
        <v>4</v>
      </c>
      <c r="F97" s="5" t="s">
        <v>117</v>
      </c>
      <c r="G97" s="5" t="s">
        <v>118</v>
      </c>
      <c r="H97" s="5">
        <v>20</v>
      </c>
      <c r="I97" s="5">
        <v>2</v>
      </c>
      <c r="J97" s="5">
        <v>572</v>
      </c>
      <c r="K97" s="5" t="s">
        <v>65</v>
      </c>
      <c r="L97" s="6" t="s">
        <v>123</v>
      </c>
    </row>
    <row r="98" ht="27.75" spans="1:12">
      <c r="A98" s="10" t="s">
        <v>107</v>
      </c>
      <c r="B98" s="10" t="s">
        <v>103</v>
      </c>
      <c r="C98" s="10" t="s">
        <v>68</v>
      </c>
      <c r="D98" s="10">
        <v>16</v>
      </c>
      <c r="E98" s="10">
        <v>8</v>
      </c>
      <c r="F98" s="10" t="s">
        <v>120</v>
      </c>
      <c r="G98" s="10" t="s">
        <v>121</v>
      </c>
      <c r="H98" s="10">
        <v>10</v>
      </c>
      <c r="I98" s="10">
        <v>1</v>
      </c>
      <c r="J98" s="10">
        <v>552</v>
      </c>
      <c r="K98" s="10" t="s">
        <v>84</v>
      </c>
      <c r="L98" s="12" t="s">
        <v>124</v>
      </c>
    </row>
    <row r="100" ht="14.6" spans="1:12">
      <c r="A100" s="13" t="s">
        <v>146</v>
      </c>
    </row>
    <row r="101" ht="13.85" spans="1:12">
      <c r="A101" s="7" t="s">
        <v>147</v>
      </c>
    </row>
    <row r="102" ht="13.85" spans="1:12">
      <c r="A102" s="7" t="s">
        <v>148</v>
      </c>
    </row>
    <row r="103" ht="13.85" spans="1:12">
      <c r="A103" s="7" t="s">
        <v>149</v>
      </c>
    </row>
    <row r="104" ht="13.85" spans="1:12">
      <c r="A104" s="7" t="s">
        <v>150</v>
      </c>
    </row>
    <row r="105" ht="13.85" spans="1:12">
      <c r="A105" s="7" t="s">
        <v>151</v>
      </c>
    </row>
    <row r="107" ht="16.85" spans="1:12">
      <c r="A107" s="3" t="s">
        <v>152</v>
      </c>
    </row>
    <row r="108" ht="13.85" spans="1:12">
      <c r="A108" s="7" t="s">
        <v>28</v>
      </c>
      <c r="B108" s="7" t="s">
        <v>153</v>
      </c>
      <c r="C108" s="7"/>
      <c r="D108" s="7"/>
      <c r="E108" s="7"/>
      <c r="F108" s="7"/>
      <c r="G108" s="7"/>
      <c r="H108" s="7"/>
    </row>
    <row r="109" ht="13.85" spans="1:12">
      <c r="A109" s="7" t="s">
        <v>29</v>
      </c>
      <c r="B109" s="7" t="s">
        <v>30</v>
      </c>
      <c r="C109" s="7"/>
      <c r="D109" s="7"/>
      <c r="E109" s="7"/>
      <c r="F109" s="7"/>
      <c r="G109" s="7"/>
      <c r="H109" s="7"/>
    </row>
    <row r="110" ht="13.85" spans="1:12">
      <c r="A110" s="7" t="s">
        <v>31</v>
      </c>
      <c r="B110" s="7" t="s">
        <v>32</v>
      </c>
      <c r="C110" s="7"/>
      <c r="D110" s="7"/>
      <c r="E110" s="7"/>
      <c r="F110" s="7"/>
      <c r="G110" s="7"/>
      <c r="H110" s="7"/>
    </row>
    <row r="111" ht="13.85" spans="1:12">
      <c r="A111" s="7" t="s">
        <v>33</v>
      </c>
      <c r="B111" s="7" t="s">
        <v>34</v>
      </c>
      <c r="C111" s="7"/>
      <c r="D111" s="7"/>
      <c r="E111" s="7"/>
      <c r="F111" s="7"/>
      <c r="G111" s="7"/>
      <c r="H111" s="7"/>
    </row>
    <row r="112" ht="13.85" spans="1:12">
      <c r="A112" s="7" t="s">
        <v>35</v>
      </c>
      <c r="B112" s="7" t="s">
        <v>36</v>
      </c>
      <c r="C112" s="7"/>
      <c r="D112" s="7"/>
      <c r="E112" s="7"/>
      <c r="F112" s="7"/>
      <c r="G112" s="7"/>
      <c r="H112" s="7"/>
    </row>
    <row r="113" ht="13.85" spans="1:12">
      <c r="A113" s="7" t="s">
        <v>37</v>
      </c>
      <c r="B113" s="7" t="s">
        <v>38</v>
      </c>
      <c r="C113" s="7"/>
      <c r="D113" s="7"/>
      <c r="E113" s="7"/>
      <c r="F113" s="7"/>
      <c r="G113" s="7"/>
      <c r="H113" s="7"/>
    </row>
    <row r="114" ht="13.85" spans="1:12">
      <c r="A114" s="7" t="s">
        <v>96</v>
      </c>
      <c r="B114" s="7" t="s">
        <v>154</v>
      </c>
      <c r="C114" s="7"/>
      <c r="D114" s="7"/>
      <c r="E114" s="7"/>
      <c r="F114" s="7"/>
      <c r="G114" s="7"/>
      <c r="H114" s="7"/>
    </row>
    <row r="116" ht="15.75" spans="1:12">
      <c r="A116" s="9" t="s">
        <v>155</v>
      </c>
    </row>
    <row r="117" ht="78.75" spans="1:12">
      <c r="A117" s="11" t="s">
        <v>48</v>
      </c>
      <c r="B117" s="11" t="s">
        <v>49</v>
      </c>
      <c r="C117" s="11" t="s">
        <v>50</v>
      </c>
      <c r="D117" s="11" t="s">
        <v>51</v>
      </c>
      <c r="E117" s="11" t="s">
        <v>52</v>
      </c>
      <c r="F117" s="11" t="s">
        <v>53</v>
      </c>
      <c r="G117" s="11" t="s">
        <v>110</v>
      </c>
      <c r="H117" s="11" t="s">
        <v>55</v>
      </c>
      <c r="I117" s="11" t="s">
        <v>56</v>
      </c>
      <c r="J117" s="11" t="s">
        <v>57</v>
      </c>
      <c r="K117" s="11" t="s">
        <v>58</v>
      </c>
      <c r="L117" s="11" t="s">
        <v>59</v>
      </c>
    </row>
    <row r="118" ht="27.75" spans="1:12">
      <c r="A118" s="5" t="s">
        <v>60</v>
      </c>
      <c r="B118" s="5" t="s">
        <v>61</v>
      </c>
      <c r="C118" s="5" t="s">
        <v>62</v>
      </c>
      <c r="D118" s="5">
        <v>16</v>
      </c>
      <c r="E118" s="5">
        <v>3</v>
      </c>
      <c r="F118" s="5" t="s">
        <v>87</v>
      </c>
      <c r="G118" s="5" t="s">
        <v>88</v>
      </c>
      <c r="H118" s="5">
        <v>20</v>
      </c>
      <c r="I118" s="5">
        <v>2</v>
      </c>
      <c r="J118" s="5">
        <v>621</v>
      </c>
      <c r="K118" s="5" t="s">
        <v>65</v>
      </c>
      <c r="L118" s="6" t="s">
        <v>156</v>
      </c>
    </row>
    <row r="119" ht="27.75" spans="1:12">
      <c r="A119" s="10" t="s">
        <v>67</v>
      </c>
      <c r="B119" s="10" t="s">
        <v>61</v>
      </c>
      <c r="C119" s="10" t="s">
        <v>68</v>
      </c>
      <c r="D119" s="10">
        <v>16</v>
      </c>
      <c r="E119" s="10">
        <v>7</v>
      </c>
      <c r="F119" s="10" t="s">
        <v>91</v>
      </c>
      <c r="G119" s="10" t="s">
        <v>92</v>
      </c>
      <c r="H119" s="10">
        <v>10</v>
      </c>
      <c r="I119" s="10">
        <v>1</v>
      </c>
      <c r="J119" s="10">
        <v>601</v>
      </c>
      <c r="K119" s="10" t="s">
        <v>84</v>
      </c>
      <c r="L119" s="12" t="s">
        <v>71</v>
      </c>
    </row>
    <row r="120" ht="27.75" spans="1:12">
      <c r="A120" s="5" t="s">
        <v>72</v>
      </c>
      <c r="B120" s="5" t="s">
        <v>73</v>
      </c>
      <c r="C120" s="5" t="s">
        <v>74</v>
      </c>
      <c r="D120" s="5">
        <v>16</v>
      </c>
      <c r="E120" s="5">
        <v>1</v>
      </c>
      <c r="F120" s="5" t="s">
        <v>104</v>
      </c>
      <c r="G120" s="5" t="s">
        <v>105</v>
      </c>
      <c r="H120" s="5">
        <v>20</v>
      </c>
      <c r="I120" s="5">
        <v>2</v>
      </c>
      <c r="J120" s="5">
        <v>591</v>
      </c>
      <c r="K120" s="5" t="s">
        <v>65</v>
      </c>
      <c r="L120" s="6" t="s">
        <v>77</v>
      </c>
    </row>
    <row r="121" ht="27.75" spans="1:12">
      <c r="A121" s="10" t="s">
        <v>81</v>
      </c>
      <c r="B121" s="10" t="s">
        <v>73</v>
      </c>
      <c r="C121" s="10" t="s">
        <v>62</v>
      </c>
      <c r="D121" s="10">
        <v>16</v>
      </c>
      <c r="E121" s="10">
        <v>5</v>
      </c>
      <c r="F121" s="10" t="s">
        <v>75</v>
      </c>
      <c r="G121" s="10" t="s">
        <v>76</v>
      </c>
      <c r="H121" s="10">
        <v>20</v>
      </c>
      <c r="I121" s="10">
        <v>2</v>
      </c>
      <c r="J121" s="10">
        <v>571</v>
      </c>
      <c r="K121" s="10" t="s">
        <v>65</v>
      </c>
      <c r="L121" s="12" t="s">
        <v>85</v>
      </c>
    </row>
    <row r="122" ht="27.75" spans="1:12">
      <c r="A122" s="5" t="s">
        <v>86</v>
      </c>
      <c r="B122" s="5" t="s">
        <v>73</v>
      </c>
      <c r="C122" s="5" t="s">
        <v>68</v>
      </c>
      <c r="D122" s="5">
        <v>16</v>
      </c>
      <c r="E122" s="5">
        <v>9</v>
      </c>
      <c r="F122" s="5" t="s">
        <v>82</v>
      </c>
      <c r="G122" s="5" t="s">
        <v>83</v>
      </c>
      <c r="H122" s="5">
        <v>10</v>
      </c>
      <c r="I122" s="5">
        <v>1</v>
      </c>
      <c r="J122" s="5">
        <v>551</v>
      </c>
      <c r="K122" s="5" t="s">
        <v>84</v>
      </c>
      <c r="L122" s="6" t="s">
        <v>89</v>
      </c>
    </row>
    <row r="123" ht="27.75" spans="1:12">
      <c r="A123" s="10" t="s">
        <v>90</v>
      </c>
      <c r="B123" s="10" t="s">
        <v>73</v>
      </c>
      <c r="C123" s="10" t="s">
        <v>74</v>
      </c>
      <c r="D123" s="10">
        <v>16</v>
      </c>
      <c r="E123" s="10">
        <v>3</v>
      </c>
      <c r="F123" s="10" t="s">
        <v>87</v>
      </c>
      <c r="G123" s="10" t="s">
        <v>88</v>
      </c>
      <c r="H123" s="10">
        <v>20</v>
      </c>
      <c r="I123" s="10">
        <v>2</v>
      </c>
      <c r="J123" s="10">
        <v>541</v>
      </c>
      <c r="K123" s="10" t="s">
        <v>65</v>
      </c>
      <c r="L123" s="12" t="s">
        <v>93</v>
      </c>
    </row>
    <row r="124" ht="27.75" spans="1:12">
      <c r="A124" s="5" t="s">
        <v>102</v>
      </c>
      <c r="B124" s="5" t="s">
        <v>103</v>
      </c>
      <c r="C124" s="5" t="s">
        <v>62</v>
      </c>
      <c r="D124" s="5">
        <v>16</v>
      </c>
      <c r="E124" s="5">
        <v>7</v>
      </c>
      <c r="F124" s="5" t="s">
        <v>91</v>
      </c>
      <c r="G124" s="5" t="s">
        <v>92</v>
      </c>
      <c r="H124" s="5">
        <v>10</v>
      </c>
      <c r="I124" s="5">
        <v>1</v>
      </c>
      <c r="J124" s="5">
        <v>521</v>
      </c>
      <c r="K124" s="5" t="s">
        <v>84</v>
      </c>
      <c r="L124" s="6" t="s">
        <v>106</v>
      </c>
    </row>
    <row r="125" ht="27.75" spans="1:12">
      <c r="A125" s="10" t="s">
        <v>107</v>
      </c>
      <c r="B125" s="10" t="s">
        <v>103</v>
      </c>
      <c r="C125" s="10" t="s">
        <v>68</v>
      </c>
      <c r="D125" s="10">
        <v>16</v>
      </c>
      <c r="E125" s="10">
        <v>1</v>
      </c>
      <c r="F125" s="10" t="s">
        <v>104</v>
      </c>
      <c r="G125" s="10" t="s">
        <v>105</v>
      </c>
      <c r="H125" s="10">
        <v>20</v>
      </c>
      <c r="I125" s="10">
        <v>2</v>
      </c>
      <c r="J125" s="10">
        <v>511</v>
      </c>
      <c r="K125" s="10" t="s">
        <v>65</v>
      </c>
      <c r="L125" s="12" t="s">
        <v>108</v>
      </c>
    </row>
    <row r="127" ht="14.6" spans="1:12">
      <c r="A127" s="13" t="s">
        <v>157</v>
      </c>
    </row>
    <row r="128" ht="13.85" spans="1:12">
      <c r="A128" s="7" t="s">
        <v>158</v>
      </c>
    </row>
    <row r="129" ht="13.85" spans="1:1">
      <c r="A129" s="7" t="s">
        <v>159</v>
      </c>
    </row>
  </sheetData>
  <mergeCells count="62">
    <mergeCell ref="A1:L1"/>
    <mergeCell ref="A2:L2"/>
    <mergeCell ref="A4:L4"/>
    <mergeCell ref="C5:L5"/>
    <mergeCell ref="C6:L6"/>
    <mergeCell ref="C7:L7"/>
    <mergeCell ref="C8:L8"/>
    <mergeCell ref="C9:L9"/>
    <mergeCell ref="C10:L10"/>
    <mergeCell ref="C11:L11"/>
    <mergeCell ref="C12:L12"/>
    <mergeCell ref="A14:L14"/>
    <mergeCell ref="B15:H15"/>
    <mergeCell ref="B16:H16"/>
    <mergeCell ref="B17:H17"/>
    <mergeCell ref="B18:H18"/>
    <mergeCell ref="B19:H19"/>
    <mergeCell ref="B20:H20"/>
    <mergeCell ref="B21:H21"/>
    <mergeCell ref="B22:H22"/>
    <mergeCell ref="A24:L24"/>
    <mergeCell ref="A35:L35"/>
    <mergeCell ref="A46:L46"/>
    <mergeCell ref="A47:L47"/>
    <mergeCell ref="A48:L48"/>
    <mergeCell ref="A49:L49"/>
    <mergeCell ref="A50:L50"/>
    <mergeCell ref="A51:L51"/>
    <mergeCell ref="A52:L52"/>
    <mergeCell ref="A53:L53"/>
    <mergeCell ref="A54:L54"/>
    <mergeCell ref="A56:L56"/>
    <mergeCell ref="B57:H57"/>
    <mergeCell ref="B58:H58"/>
    <mergeCell ref="B59:H59"/>
    <mergeCell ref="B60:H60"/>
    <mergeCell ref="B61:H61"/>
    <mergeCell ref="B62:H62"/>
    <mergeCell ref="B63:H63"/>
    <mergeCell ref="B64:H64"/>
    <mergeCell ref="B65:H65"/>
    <mergeCell ref="A67:L67"/>
    <mergeCell ref="A78:L78"/>
    <mergeCell ref="A89:L89"/>
    <mergeCell ref="A100:L100"/>
    <mergeCell ref="A101:L101"/>
    <mergeCell ref="A102:L102"/>
    <mergeCell ref="A103:L103"/>
    <mergeCell ref="A104:L104"/>
    <mergeCell ref="A105:L105"/>
    <mergeCell ref="A107:L107"/>
    <mergeCell ref="B108:H108"/>
    <mergeCell ref="B109:H109"/>
    <mergeCell ref="B110:H110"/>
    <mergeCell ref="B111:H111"/>
    <mergeCell ref="B112:H112"/>
    <mergeCell ref="B113:H113"/>
    <mergeCell ref="B114:H114"/>
    <mergeCell ref="A116:L116"/>
    <mergeCell ref="A127:L127"/>
    <mergeCell ref="A128:L128"/>
    <mergeCell ref="A129:L1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胎胚排量说明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</cp:lastModifiedBy>
  <dcterms:created xsi:type="dcterms:W3CDTF">2026-05-12T08:34:00Z</dcterms:created>
  <dcterms:modified xsi:type="dcterms:W3CDTF">2026-05-12T09:34:52Z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13589289AB994564B6A92E3F73FDC95F_13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