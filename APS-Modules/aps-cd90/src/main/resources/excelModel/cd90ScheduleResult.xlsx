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E\CODES\JY_APS\JY_APS_CODE\jy_aps_admin\APS-Modules\aps-cd90\src\main\resources\excelModel\"/>
    </mc:Choice>
  </mc:AlternateContent>
  <xr:revisionPtr revIDLastSave="0" documentId="13_ncr:1_{2F38FF71-06CF-40B1-9F73-5498B0D669D7}" xr6:coauthVersionLast="36" xr6:coauthVersionMax="36" xr10:uidLastSave="{00000000-0000-0000-0000-000000000000}"/>
  <bookViews>
    <workbookView xWindow="-105" yWindow="-105" windowWidth="23265" windowHeight="12465" tabRatio="596" xr2:uid="{00000000-000D-0000-FFFF-FFFF00000000}"/>
  </bookViews>
  <sheets>
    <sheet name="裁断计划 TRC" sheetId="1" r:id="rId1"/>
  </sheets>
  <calcPr calcId="191029"/>
</workbook>
</file>

<file path=xl/calcChain.xml><?xml version="1.0" encoding="utf-8"?>
<calcChain xmlns="http://schemas.openxmlformats.org/spreadsheetml/2006/main">
  <c r="P4" i="1" l="1"/>
  <c r="Q4" i="1" s="1"/>
</calcChain>
</file>

<file path=xl/sharedStrings.xml><?xml version="1.0" encoding="utf-8"?>
<sst xmlns="http://schemas.openxmlformats.org/spreadsheetml/2006/main" count="30" uniqueCount="24">
  <si>
    <t>2026年06月06日全钢裁断工程生产计划单</t>
  </si>
  <si>
    <t>成型余量</t>
  </si>
  <si>
    <t>早班06/05</t>
  </si>
  <si>
    <t>中班06/05</t>
  </si>
  <si>
    <t>夜班06/06</t>
  </si>
  <si>
    <t>早班06/06</t>
  </si>
  <si>
    <t>计划</t>
  </si>
  <si>
    <t>实际</t>
  </si>
  <si>
    <t>G1301</t>
  </si>
  <si>
    <t>DFG81001</t>
  </si>
  <si>
    <t>CSTA6023</t>
  </si>
  <si>
    <t>G31-6,G31-7</t>
  </si>
  <si>
    <t>H1104</t>
  </si>
  <si>
    <t>315/80R22.5 JF518四层</t>
  </si>
  <si>
    <t>库存（米）
库存拿6点/14点/22点</t>
    <phoneticPr fontId="10" type="noConversion"/>
  </si>
  <si>
    <t>裁断机台</t>
    <phoneticPr fontId="10" type="noConversion"/>
  </si>
  <si>
    <t>长度</t>
    <phoneticPr fontId="10" type="noConversion"/>
  </si>
  <si>
    <t>物料描述</t>
    <phoneticPr fontId="10" type="noConversion"/>
  </si>
  <si>
    <t>成型产量
早班06/05到早班06/06</t>
    <phoneticPr fontId="10" type="noConversion"/>
  </si>
  <si>
    <t>标准要求（米）</t>
    <phoneticPr fontId="10" type="noConversion"/>
  </si>
  <si>
    <t>库排</t>
    <phoneticPr fontId="10" type="noConversion"/>
  </si>
  <si>
    <t>成型机台</t>
    <phoneticPr fontId="10" type="noConversion"/>
  </si>
  <si>
    <t>大卷帘布代码</t>
    <phoneticPr fontId="10" type="noConversion"/>
  </si>
  <si>
    <t>结构名称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</si>
</sst>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&quot;$&quot;* #,##0.00_);_(&quot;$&quot;* \(#,##0.00\);_(&quot;$&quot;* &quot;-&quot;??_);_(@_)"/>
    <numFmt numFmtId="178" formatCode="[$-409]d/mmm;@"/>
  </numFmts>
  <fonts count="1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color rgb="FF006100"/>
      <name val="等线"/>
      <family val="2"/>
      <scheme val="minor"/>
    </font>
    <font>
      <sz val="11"/>
      <color rgb="FF9C5700"/>
      <name val="等线"/>
      <family val="2"/>
      <scheme val="minor"/>
    </font>
    <font>
      <sz val="12"/>
      <name val="宋体"/>
      <family val="3"/>
      <charset val="134"/>
    </font>
    <font>
      <sz val="11"/>
      <name val="等线"/>
      <family val="2"/>
      <scheme val="minor"/>
    </font>
    <font>
      <sz val="10"/>
      <name val="Arial"/>
      <family val="2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9"/>
      <color theme="2" tint="-0.89996032593768116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99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0" fontId="0" fillId="0" borderId="0"/>
    <xf numFmtId="0" fontId="2" fillId="4" borderId="0" applyNumberFormat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" fillId="0" borderId="0">
      <alignment vertical="center"/>
    </xf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7" borderId="7" applyNumberFormat="0" applyFont="0" applyAlignment="0" applyProtection="0"/>
    <xf numFmtId="9" fontId="1" fillId="0" borderId="0" applyFon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43" fontId="9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178" fontId="13" fillId="2" borderId="4" xfId="0" applyNumberFormat="1" applyFont="1" applyFill="1" applyBorder="1" applyAlignment="1">
      <alignment horizontal="center" vertical="center"/>
    </xf>
    <xf numFmtId="178" fontId="13" fillId="2" borderId="6" xfId="0" applyNumberFormat="1" applyFont="1" applyFill="1" applyBorder="1" applyAlignment="1">
      <alignment horizontal="center" vertical="center"/>
    </xf>
    <xf numFmtId="178" fontId="13" fillId="3" borderId="4" xfId="0" applyNumberFormat="1" applyFont="1" applyFill="1" applyBorder="1" applyAlignment="1">
      <alignment horizontal="center" vertical="center"/>
    </xf>
    <xf numFmtId="178" fontId="13" fillId="3" borderId="6" xfId="0" applyNumberFormat="1" applyFont="1" applyFill="1" applyBorder="1" applyAlignment="1">
      <alignment horizontal="center" vertical="center"/>
    </xf>
  </cellXfs>
  <cellStyles count="21">
    <cellStyle name="Bad 2" xfId="1" xr:uid="{00000000-0005-0000-0000-000031000000}"/>
    <cellStyle name="Currency 2" xfId="2" xr:uid="{00000000-0005-0000-0000-000032000000}"/>
    <cellStyle name="Currency 2 2" xfId="3" xr:uid="{00000000-0005-0000-0000-000033000000}"/>
    <cellStyle name="Currency 3" xfId="4" xr:uid="{00000000-0005-0000-0000-000034000000}"/>
    <cellStyle name="Excel Built-in Normal" xfId="5" xr:uid="{00000000-0005-0000-0000-000035000000}"/>
    <cellStyle name="Good 2" xfId="6" xr:uid="{00000000-0005-0000-0000-000036000000}"/>
    <cellStyle name="Neutral 2" xfId="7" xr:uid="{00000000-0005-0000-0000-000037000000}"/>
    <cellStyle name="Normal 2" xfId="8" xr:uid="{00000000-0005-0000-0000-000038000000}"/>
    <cellStyle name="Normal 2 2" xfId="9" xr:uid="{00000000-0005-0000-0000-000039000000}"/>
    <cellStyle name="Normal 3" xfId="10" xr:uid="{00000000-0005-0000-0000-00003A000000}"/>
    <cellStyle name="Normal 3 2" xfId="11" xr:uid="{00000000-0005-0000-0000-00003B000000}"/>
    <cellStyle name="Normal 3 3" xfId="12" xr:uid="{00000000-0005-0000-0000-00003C000000}"/>
    <cellStyle name="Normal 4" xfId="13" xr:uid="{00000000-0005-0000-0000-00003D000000}"/>
    <cellStyle name="Normal 5" xfId="14" xr:uid="{00000000-0005-0000-0000-00003E000000}"/>
    <cellStyle name="Normal 6" xfId="15" xr:uid="{00000000-0005-0000-0000-00003F000000}"/>
    <cellStyle name="Note 2" xfId="16" xr:uid="{00000000-0005-0000-0000-000040000000}"/>
    <cellStyle name="Percent 2" xfId="17" xr:uid="{00000000-0005-0000-0000-000041000000}"/>
    <cellStyle name="常规" xfId="0" builtinId="0"/>
    <cellStyle name="常规 2" xfId="18" xr:uid="{00000000-0005-0000-0000-000042000000}"/>
    <cellStyle name="常规 2 2" xfId="19" xr:uid="{00000000-0005-0000-0000-000043000000}"/>
    <cellStyle name="千位分隔 3" xfId="20" xr:uid="{00000000-0005-0000-0000-000044000000}"/>
  </cellStyles>
  <dxfs count="0"/>
  <tableStyles count="0" defaultTableStyle="TableStyleMedium2" defaultPivotStyle="PivotStyleLight16"/>
  <colors>
    <mruColors>
      <color rgb="FFFBEEFC"/>
      <color rgb="FF006666"/>
      <color rgb="FF009999"/>
      <color rgb="FFA6C2AB"/>
      <color rgb="FFEFFFF7"/>
      <color rgb="FFDDFFEE"/>
      <color rgb="FF339966"/>
      <color rgb="FFF8DFF9"/>
      <color rgb="FFEFB6F0"/>
      <color rgb="FF9DC0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S4"/>
  <sheetViews>
    <sheetView tabSelected="1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G16" sqref="G16"/>
    </sheetView>
  </sheetViews>
  <sheetFormatPr defaultColWidth="17.75" defaultRowHeight="24.75" customHeight="1" x14ac:dyDescent="0.2"/>
  <cols>
    <col min="1" max="1" width="14.5" style="1" customWidth="1"/>
    <col min="2" max="2" width="5.625" style="7" customWidth="1"/>
    <col min="3" max="3" width="7.625" style="1" customWidth="1"/>
    <col min="4" max="4" width="15.625" style="1" customWidth="1"/>
    <col min="5" max="5" width="10" style="1" customWidth="1"/>
    <col min="6" max="6" width="18.25" style="1" customWidth="1"/>
    <col min="7" max="7" width="14.875" style="1" customWidth="1"/>
    <col min="8" max="15" width="7.375" style="1" customWidth="1"/>
    <col min="16" max="16" width="18.375" style="1" customWidth="1"/>
    <col min="17" max="18" width="12" style="1" customWidth="1"/>
    <col min="19" max="19" width="26.625" style="1" customWidth="1"/>
    <col min="20" max="16384" width="17.75" style="1"/>
  </cols>
  <sheetData>
    <row r="1" spans="1:19" ht="27.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s="2" customFormat="1" ht="15" customHeight="1" x14ac:dyDescent="0.2">
      <c r="A2" s="9" t="s">
        <v>15</v>
      </c>
      <c r="B2" s="9" t="s">
        <v>16</v>
      </c>
      <c r="C2" s="9" t="s">
        <v>1</v>
      </c>
      <c r="D2" s="9" t="s">
        <v>17</v>
      </c>
      <c r="E2" s="9" t="s">
        <v>22</v>
      </c>
      <c r="F2" s="9" t="s">
        <v>14</v>
      </c>
      <c r="G2" s="9" t="s">
        <v>20</v>
      </c>
      <c r="H2" s="14" t="s">
        <v>2</v>
      </c>
      <c r="I2" s="15"/>
      <c r="J2" s="16" t="s">
        <v>3</v>
      </c>
      <c r="K2" s="17"/>
      <c r="L2" s="18" t="s">
        <v>4</v>
      </c>
      <c r="M2" s="19"/>
      <c r="N2" s="18" t="s">
        <v>5</v>
      </c>
      <c r="O2" s="19"/>
      <c r="P2" s="9" t="s">
        <v>18</v>
      </c>
      <c r="Q2" s="9" t="s">
        <v>19</v>
      </c>
      <c r="R2" s="9" t="s">
        <v>21</v>
      </c>
      <c r="S2" s="9" t="s">
        <v>23</v>
      </c>
    </row>
    <row r="3" spans="1:19" ht="15" customHeight="1" x14ac:dyDescent="0.2">
      <c r="A3" s="10"/>
      <c r="B3" s="10"/>
      <c r="C3" s="10"/>
      <c r="D3" s="10"/>
      <c r="E3" s="10"/>
      <c r="F3" s="10"/>
      <c r="G3" s="10"/>
      <c r="H3" s="3" t="s">
        <v>6</v>
      </c>
      <c r="I3" s="3" t="s">
        <v>7</v>
      </c>
      <c r="J3" s="3" t="s">
        <v>6</v>
      </c>
      <c r="K3" s="3" t="s">
        <v>7</v>
      </c>
      <c r="L3" s="4" t="s">
        <v>6</v>
      </c>
      <c r="M3" s="4" t="s">
        <v>7</v>
      </c>
      <c r="N3" s="4" t="s">
        <v>6</v>
      </c>
      <c r="O3" s="4" t="s">
        <v>7</v>
      </c>
      <c r="P3" s="10"/>
      <c r="Q3" s="10"/>
      <c r="R3" s="10"/>
      <c r="S3" s="10"/>
    </row>
    <row r="4" spans="1:19" ht="19.899999999999999" customHeight="1" x14ac:dyDescent="0.2">
      <c r="A4" s="5" t="s">
        <v>8</v>
      </c>
      <c r="B4" s="5">
        <v>1.73</v>
      </c>
      <c r="C4" s="5"/>
      <c r="D4" s="8" t="s">
        <v>9</v>
      </c>
      <c r="E4" s="6" t="s">
        <v>10</v>
      </c>
      <c r="F4" s="5">
        <v>320</v>
      </c>
      <c r="G4" s="5" t="s">
        <v>11</v>
      </c>
      <c r="H4" s="5">
        <v>400</v>
      </c>
      <c r="I4" s="5">
        <v>320</v>
      </c>
      <c r="J4" s="5">
        <v>80</v>
      </c>
      <c r="K4" s="5"/>
      <c r="L4" s="5"/>
      <c r="M4" s="5"/>
      <c r="N4" s="5"/>
      <c r="O4" s="5"/>
      <c r="P4" s="5">
        <f>100+100+100+100</f>
        <v>400</v>
      </c>
      <c r="Q4" s="5">
        <f>P4*B4</f>
        <v>692</v>
      </c>
      <c r="R4" s="5" t="s">
        <v>12</v>
      </c>
      <c r="S4" s="5" t="s">
        <v>13</v>
      </c>
    </row>
  </sheetData>
  <mergeCells count="16">
    <mergeCell ref="F2:F3"/>
    <mergeCell ref="A1:S1"/>
    <mergeCell ref="H2:I2"/>
    <mergeCell ref="J2:K2"/>
    <mergeCell ref="L2:M2"/>
    <mergeCell ref="N2:O2"/>
    <mergeCell ref="P2:P3"/>
    <mergeCell ref="Q2:Q3"/>
    <mergeCell ref="R2:R3"/>
    <mergeCell ref="S2:S3"/>
    <mergeCell ref="G2:G3"/>
    <mergeCell ref="A2:A3"/>
    <mergeCell ref="B2:B3"/>
    <mergeCell ref="C2:C3"/>
    <mergeCell ref="D2:D3"/>
    <mergeCell ref="E2:E3"/>
  </mergeCells>
  <phoneticPr fontId="1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98F55-2BFE-4FCE-BEC4-24624BA9E2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裁断计划 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XUEH</cp:lastModifiedBy>
  <cp:lastPrinted>2025-09-05T00:57:00Z</cp:lastPrinted>
  <dcterms:created xsi:type="dcterms:W3CDTF">2021-10-14T06:49:00Z</dcterms:created>
  <dcterms:modified xsi:type="dcterms:W3CDTF">2026-07-13T13:18:05Z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522E5BFE159B40ACBFCE1FF730C84FBF_13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